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Updates" sheetId="1" r:id="rId4"/>
    <sheet state="hidden" name="4.0 Mechanic Reversions" sheetId="2" r:id="rId5"/>
    <sheet state="hidden" name="4.0.12" sheetId="3" r:id="rId6"/>
    <sheet state="hidden" name="4.0.11" sheetId="4" r:id="rId7"/>
    <sheet state="hidden" name="4.0.10" sheetId="5" r:id="rId8"/>
    <sheet state="hidden" name="4.0.08" sheetId="6" r:id="rId9"/>
    <sheet state="hidden" name="4.0.07" sheetId="7" r:id="rId10"/>
    <sheet state="hidden" name="4.0.06" sheetId="8" r:id="rId11"/>
    <sheet state="hidden" name="4.0.05" sheetId="9" r:id="rId12"/>
    <sheet state="hidden" name="4.0.04" sheetId="10" r:id="rId13"/>
    <sheet state="hidden" name="4.0.03" sheetId="11" r:id="rId14"/>
    <sheet state="hidden" name="4.0.02" sheetId="12" r:id="rId15"/>
    <sheet state="visible" name="Home Page" sheetId="13" r:id="rId16"/>
    <sheet state="visible" name="BETA" sheetId="14" r:id="rId17"/>
    <sheet state="visible" name="Classes" sheetId="15" r:id="rId18"/>
    <sheet state="visible" name="Archer" sheetId="16" r:id="rId19"/>
    <sheet state="visible" name="Celestial" sheetId="17" r:id="rId20"/>
    <sheet state="visible" name="Clairvoyant" sheetId="18" r:id="rId21"/>
    <sheet state="visible" name="Dark" sheetId="19" r:id="rId22"/>
    <sheet state="visible" name="Dueler" sheetId="20" r:id="rId23"/>
    <sheet state="visible" name="Fighter" sheetId="21" r:id="rId24"/>
    <sheet state="visible" name="Heavy" sheetId="22" r:id="rId25"/>
    <sheet state="visible" name="Regal" sheetId="23" r:id="rId26"/>
    <sheet state="visible" name="Sorcerer" sheetId="24" r:id="rId27"/>
    <sheet state="visible" name="Stats" sheetId="25" r:id="rId28"/>
    <sheet state="hidden" name="Stats (old)" sheetId="26" r:id="rId29"/>
    <sheet state="visible" name="Loot Chart" sheetId="27"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currently managed by Elissem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5">
      <text>
        <t xml:space="preserve">wow its me, the baked bean
i will unbake your beans
beans have bean vanquished</t>
      </text>
    </comment>
    <comment authorId="0" ref="B4">
      <text>
        <t xml:space="preserve">Basic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Basic</t>
      </text>
    </comment>
  </commentList>
</comments>
</file>

<file path=xl/sharedStrings.xml><?xml version="1.0" encoding="utf-8"?>
<sst xmlns="http://schemas.openxmlformats.org/spreadsheetml/2006/main" count="4041" uniqueCount="1507">
  <si>
    <t>Battle Dome 4 updates (Beta)</t>
  </si>
  <si>
    <t>The following is a list of mechanic changes between 4.1 and 4.0. This will explain things from 4.0's perspective:
- Critical Hits only double the dice, not the modifier (so a 2d8+15 attack becomes 4d8+15)
- The Defense stat has been removed
- AoO will only apply to ranged attacks (this includes ranged attacks used in melee)
- The EoT restriction will function differently: the only restriction is that you may not use an EoT move on the turn after you have used another EoT move (eg, you can go Twice -&gt; EoT -&gt; Once, but not EoT -&gt; Twice/EoT)
- Stats are a combination of class and weapon stats, rather than just clas stats, allowing for greater diversity
- Moves have changed, so they will have different rolls, effects, MRs, etc. than in 4.1.</t>
  </si>
  <si>
    <t>Current Patch:</t>
  </si>
  <si>
    <t>Beta 4.2</t>
  </si>
  <si>
    <t>4.0.12</t>
  </si>
  <si>
    <t>Release Date:</t>
  </si>
  <si>
    <t>Upcoming Patch:</t>
  </si>
  <si>
    <t>NONE</t>
  </si>
  <si>
    <t>4.0.10</t>
  </si>
  <si>
    <t>General</t>
  </si>
  <si>
    <t>-</t>
  </si>
  <si>
    <t>Statuses</t>
  </si>
  <si>
    <t>Burn now reduces accuracy by 2 as an added side effect. Bleed reduces the targets damage by 5 as an added side effect.</t>
  </si>
  <si>
    <t>Patch number</t>
  </si>
  <si>
    <t>NEW STATUS: Poison: May deal passive damage to the foe, reduces foes evasion by 2</t>
  </si>
  <si>
    <t>Release date</t>
  </si>
  <si>
    <t>Summary</t>
  </si>
  <si>
    <t>12/11/16</t>
  </si>
  <si>
    <t>EXP</t>
  </si>
  <si>
    <t>Teams get +1 XP</t>
  </si>
  <si>
    <t>Class</t>
  </si>
  <si>
    <t>Pyrokinetic</t>
  </si>
  <si>
    <t xml:space="preserve">Concerns? PM either Taistelu, MMM, Micro,  Henka or Hirl, if they're not on, PM some other staff. No staff on? Use %mail. No Kyubs? Cry in isolation. No PS!? Fear for your life that the hacker has returned OR USE THE ABILITY SUGGESTION FORM IN THE ROOMINTRO SERIOUSLY WHY DOES NO ONE USE THAT? </t>
  </si>
  <si>
    <t>4.0.02</t>
  </si>
  <si>
    <t>16/8/16</t>
  </si>
  <si>
    <t>Inferno</t>
  </si>
  <si>
    <t>Requires 1 Fire Stack minimum to use and no longer adds MAG.</t>
  </si>
  <si>
    <t>Basic skill nerfs to polearm and skirmisher.</t>
  </si>
  <si>
    <t>Rifter</t>
  </si>
  <si>
    <t>PvE</t>
  </si>
  <si>
    <t>Levels</t>
  </si>
  <si>
    <t>4.0.03</t>
  </si>
  <si>
    <t>Time Dilation and Wormhole have swapped levels</t>
  </si>
  <si>
    <t>V IMPLEMENTED ON THURSDAY V</t>
  </si>
  <si>
    <t>24/8/16</t>
  </si>
  <si>
    <t>Weapon</t>
  </si>
  <si>
    <t>Many ability changes for just about every class/branch.</t>
  </si>
  <si>
    <t>If there are multiple monsters in a battle, the party automatically moves first.</t>
  </si>
  <si>
    <t>Terrain</t>
  </si>
  <si>
    <t>Hammer</t>
  </si>
  <si>
    <t>Crush</t>
  </si>
  <si>
    <t>Lava</t>
  </si>
  <si>
    <t>2d8+5</t>
  </si>
  <si>
    <t>4.0.04</t>
  </si>
  <si>
    <t>1d8+10 extra damage if the opponent is pushed either into another player or a wall</t>
  </si>
  <si>
    <t>Gale Force</t>
  </si>
  <si>
    <t>20 HP damage for entering, ending your turn is 30 HP damage.</t>
  </si>
  <si>
    <t>1d8+10 extra damage if target used the same move as last turn</t>
  </si>
  <si>
    <t>Nerfs to skills and adjustments to level requirements.</t>
  </si>
  <si>
    <t>Bo Staff</t>
  </si>
  <si>
    <t>Mechanics</t>
  </si>
  <si>
    <t>Tornado</t>
  </si>
  <si>
    <t>4.0.05</t>
  </si>
  <si>
    <t>The Twice move EoT descision was reversed (lol it was a really weird one).</t>
  </si>
  <si>
    <t>Nerfs / Buffs to skills, adjustment to transferring weapons/classes, clarifying moves, and a new game mode.</t>
  </si>
  <si>
    <t>Confuses for 2 turns on 16+</t>
  </si>
  <si>
    <t>Rapier</t>
  </si>
  <si>
    <t>New level 1 move - Precision</t>
  </si>
  <si>
    <t>4.0.06</t>
  </si>
  <si>
    <t>Rapier buff, adjustment to skills.</t>
  </si>
  <si>
    <t>Similarly to Berserk, Rapiers may choose to gain -5 damage and +2 accuracy or -10 damage and +4 accuracy on their attacks.</t>
  </si>
  <si>
    <t>Polearm</t>
  </si>
  <si>
    <t>Moves that can be used on allies can now be used on consenting players similar to Ally Switch.</t>
  </si>
  <si>
    <t>Power Swing and Leg Sweep swapped</t>
  </si>
  <si>
    <t>Orb</t>
  </si>
  <si>
    <t>Spirit Shackle</t>
  </si>
  <si>
    <t>Stats</t>
  </si>
  <si>
    <t>Can only target a maximum of 3 players now.</t>
  </si>
  <si>
    <t>4.0.07</t>
  </si>
  <si>
    <t>8/10/16</t>
  </si>
  <si>
    <t>Katana</t>
  </si>
  <si>
    <t>Small buffs, MR changes and Claws nerf.</t>
  </si>
  <si>
    <t>Nihonto</t>
  </si>
  <si>
    <t>4.0.08</t>
  </si>
  <si>
    <t>15/10/16</t>
  </si>
  <si>
    <t>MR4 now + Once</t>
  </si>
  <si>
    <t>Shortbow + Katana buff, new cycle bonus.</t>
  </si>
  <si>
    <t>-5 HP and -2 ATK</t>
  </si>
  <si>
    <t>Slice</t>
  </si>
  <si>
    <t>2d8+8</t>
  </si>
  <si>
    <t>4.0.09</t>
  </si>
  <si>
    <t>22/10/16</t>
  </si>
  <si>
    <t>Fallen Blade</t>
  </si>
  <si>
    <t>Axe Rework, MR changes and some adjustments.</t>
  </si>
  <si>
    <t>Wand</t>
  </si>
  <si>
    <t>Tonfa</t>
  </si>
  <si>
    <t>-1 acc now</t>
  </si>
  <si>
    <t>Leash</t>
  </si>
  <si>
    <t>29/10/16</t>
  </si>
  <si>
    <t>Skill Adjustment and Mechanic Changes.</t>
  </si>
  <si>
    <t>MR4</t>
  </si>
  <si>
    <t>+5 HP and +1 MAG</t>
  </si>
  <si>
    <t>Stave</t>
  </si>
  <si>
    <t>4.0.11</t>
  </si>
  <si>
    <t>05/11/16</t>
  </si>
  <si>
    <t>Chroma</t>
  </si>
  <si>
    <t>Storm Smash</t>
  </si>
  <si>
    <t>Move adjustments + Stat changes</t>
  </si>
  <si>
    <t>Every Turn-&gt;EoT</t>
  </si>
  <si>
    <t>Now 2d8+9</t>
  </si>
  <si>
    <t>Skill adjustments and important overhaul of patch notes</t>
  </si>
  <si>
    <t>+5 HP</t>
  </si>
  <si>
    <t>Spellbook</t>
  </si>
  <si>
    <t>Seal</t>
  </si>
  <si>
    <t>d8+6, Seal 10+ on accuracy roll</t>
  </si>
  <si>
    <t>Bounty of Death</t>
  </si>
  <si>
    <t>d10+8</t>
  </si>
  <si>
    <t>Magic Shot (S)</t>
  </si>
  <si>
    <t>Longbow</t>
  </si>
  <si>
    <t>Now Line 4</t>
  </si>
  <si>
    <t>Snipe</t>
  </si>
  <si>
    <t>No longer crits on 18+ or makes next attack an automatic hit upon critting</t>
  </si>
  <si>
    <t>Focused Fire</t>
  </si>
  <si>
    <t>Reworked To: 1d10+7 | Push 3 effect | Range 2 | MR3 | EoT</t>
  </si>
  <si>
    <t>Crossbow</t>
  </si>
  <si>
    <t>Rupture/Pierce</t>
  </si>
  <si>
    <t>Levels are now swapped</t>
  </si>
  <si>
    <t>Micro is STILL a nerd.</t>
  </si>
  <si>
    <t>Shortbow</t>
  </si>
  <si>
    <t>Concerns? PM either Taistelu, MMM, Micro or Henka, if they're not on, PM Moq or Pancake, if they're not on, PM some other staff. No staff on? Use %mail. No Kyubs? Cry in isolation. No PS!? Fear for your life that the hacker returned.</t>
  </si>
  <si>
    <t>Windmill</t>
  </si>
  <si>
    <t>New EXP Cycle Bonus</t>
  </si>
  <si>
    <t>MR is now 3.</t>
  </si>
  <si>
    <t>+1 XP/Kill</t>
  </si>
  <si>
    <t>Double Shot</t>
  </si>
  <si>
    <t>Now 2d8+3</t>
  </si>
  <si>
    <t>Maximum of one stack gained per turn.</t>
  </si>
  <si>
    <t>Axe</t>
  </si>
  <si>
    <t>Skull Bash</t>
  </si>
  <si>
    <t>Now MR5</t>
  </si>
  <si>
    <t>Claws</t>
  </si>
  <si>
    <t>Fury Cutter</t>
  </si>
  <si>
    <t>MR 3 -&gt; MR 2, Magical -&gt; Physical, 1d8+5 -&gt; 1d8+1</t>
  </si>
  <si>
    <t>Pierce</t>
  </si>
  <si>
    <t>Ignores accuracy reduction as well now.</t>
  </si>
  <si>
    <t>Kip Up</t>
  </si>
  <si>
    <t>2d8+12, Range 2</t>
  </si>
  <si>
    <t>String Shot</t>
  </si>
  <si>
    <t>If targetting ally, no damage is dealt, 3d8+14</t>
  </si>
  <si>
    <t>Eagle Eye</t>
  </si>
  <si>
    <t>Crit +17, -1 evasion.</t>
  </si>
  <si>
    <t>Now</t>
  </si>
  <si>
    <r>
      <rPr>
        <rFont val="arial,sans,sans-serif"/>
        <strike/>
        <color rgb="FFFFFFFF"/>
        <sz val="12.0"/>
      </rPr>
      <t>Roll: 2d10+4</t>
    </r>
    <r>
      <rPr>
        <rFont val="arial,sans,sans-serif"/>
        <color rgb="FFFFFFFF"/>
        <sz val="12.0"/>
      </rPr>
      <t xml:space="preserve"> -&gt; 2d10+6 </t>
    </r>
  </si>
  <si>
    <t>Ni Dageki</t>
  </si>
  <si>
    <t>Concerns? PM either Taistelu, MMM or Micro...if they're not on, PM Moq or Pancake, if they're not on, PM some other stuff. No staff on? Use %mail. No Kyubs? Cry in isolation.</t>
  </si>
  <si>
    <r>
      <rPr>
        <rFont val="arial,sans,sans-serif"/>
        <strike/>
        <color rgb="FFFFFFFF"/>
        <sz val="12.0"/>
      </rPr>
      <t>Roll: 2d8+4</t>
    </r>
    <r>
      <rPr>
        <rFont val="arial,sans,sans-serif"/>
        <color rgb="FFFFFFFF"/>
        <sz val="12.0"/>
      </rPr>
      <t xml:space="preserve"> -&gt; 2d8+6</t>
    </r>
  </si>
  <si>
    <t>Bard</t>
  </si>
  <si>
    <t>Siedo</t>
  </si>
  <si>
    <t>Motivation</t>
  </si>
  <si>
    <r>
      <rPr>
        <strike/>
        <color rgb="FFFFFFFF"/>
        <sz val="12.0"/>
      </rPr>
      <t>Roll: 2d8+6</t>
    </r>
    <r>
      <rPr>
        <color rgb="FFFFFFFF"/>
        <sz val="12.0"/>
      </rPr>
      <t xml:space="preserve"> -&gt; 2d8+12</t>
    </r>
  </si>
  <si>
    <t>The user now always gets the Motivation boost.</t>
  </si>
  <si>
    <t>Crescendo</t>
  </si>
  <si>
    <t>Frequency: Extended -&gt; Full</t>
  </si>
  <si>
    <r>
      <rPr>
        <rFont val="arial,sans,sans-serif"/>
        <strike/>
        <color rgb="FFFFFFFF"/>
        <sz val="12.0"/>
      </rPr>
      <t>Roll: 3d8+8</t>
    </r>
    <r>
      <rPr>
        <rFont val="arial,sans,sans-serif"/>
        <color rgb="FFFFFFFF"/>
        <sz val="12.0"/>
      </rPr>
      <t xml:space="preserve"> -&gt; 3d8+12</t>
    </r>
  </si>
  <si>
    <t>Guardian</t>
  </si>
  <si>
    <t>Protector</t>
  </si>
  <si>
    <t xml:space="preserve"> +1 ATK @ Level 2 | +1 MAG @ Level 2</t>
  </si>
  <si>
    <t>Now Once/Swift</t>
  </si>
  <si>
    <t>Skirmisher</t>
  </si>
  <si>
    <t xml:space="preserve"> +1 MAG @ Level 5</t>
  </si>
  <si>
    <t>Outmaneuver</t>
  </si>
  <si>
    <r>
      <rPr>
        <rFont val="arial,sans,sans-serif"/>
        <color rgb="FFFFFFFF"/>
        <sz val="12.0"/>
      </rPr>
      <t xml:space="preserve">Effect: </t>
    </r>
    <r>
      <rPr>
        <rFont val="arial,sans,sans-serif"/>
        <strike/>
        <color rgb="FFFFFFFF"/>
        <sz val="12.0"/>
      </rPr>
      <t>Add the users highest evasion stat to your next accuracy</t>
    </r>
    <r>
      <rPr>
        <rFont val="arial,sans,sans-serif"/>
        <color rgb="FFFFFFFF"/>
        <sz val="12.0"/>
      </rPr>
      <t xml:space="preserve"> -&gt; 
Add +2 accuracy to your next attack(all accuracy for multi-hitting moves)</t>
    </r>
  </si>
  <si>
    <t>Gladius</t>
  </si>
  <si>
    <t>Bone Sword</t>
  </si>
  <si>
    <t>Roll: 3d10+2 -&gt; 2d10+8</t>
  </si>
  <si>
    <t>Roll: 3d6+10 -&gt; 3d8+10</t>
  </si>
  <si>
    <t>Figure 8</t>
  </si>
  <si>
    <t>Level 2 -&gt; 3</t>
  </si>
  <si>
    <t>Dazing Shot</t>
  </si>
  <si>
    <t>Level 3 -&gt; 2</t>
  </si>
  <si>
    <t>Riposte</t>
  </si>
  <si>
    <t>MR: 4 -&gt; 2</t>
  </si>
  <si>
    <t>Released</t>
  </si>
  <si>
    <t>Frequency: EoT -&gt; Every Turn</t>
  </si>
  <si>
    <t>Gouge</t>
  </si>
  <si>
    <t>If you want to suggest a change, or disagree with a change on here, PM either Taistelu, MMM or Micro. If they are not around, PM Moq or Pancake. If they are not around, PM another staff. If no staff are on, mail someone, if Ice Kyubs is down, cry in isolation.</t>
  </si>
  <si>
    <t>MR: 3 -&gt; 4</t>
  </si>
  <si>
    <t>Puncture</t>
  </si>
  <si>
    <t>Frequency: Twice -&gt; Once</t>
  </si>
  <si>
    <t>Game Modes</t>
  </si>
  <si>
    <t>Roll: 2d8+10 -&gt; 2d8+3</t>
  </si>
  <si>
    <t>Effect: Additional 15 damage if bleeding -&gt; Additional 10 damage if bleeding</t>
  </si>
  <si>
    <t>2v2v2 and 2v2v2v2 are now playable. Base reward for 2v2v2 is 7 EXP. Base reward for 2v2v2v2 is 9 EXP.</t>
  </si>
  <si>
    <t>Bagh Naka</t>
  </si>
  <si>
    <t>Glossary</t>
  </si>
  <si>
    <t>Roll: 2d8+10 -&gt; 3d8</t>
  </si>
  <si>
    <t>This was released before .06 but w/e.</t>
  </si>
  <si>
    <t>Cone</t>
  </si>
  <si>
    <t>Reworked, check Cone Examples tab on tracker/glossary!</t>
  </si>
  <si>
    <t>Wording: Pushed into allies -&gt; Pushed into any player</t>
  </si>
  <si>
    <t>Classes</t>
  </si>
  <si>
    <t>Snap</t>
  </si>
  <si>
    <t>24/09/16 (Sat)
(Released)</t>
  </si>
  <si>
    <t>MR: 6 -&gt; 5</t>
  </si>
  <si>
    <t>Realm of the minor changes.</t>
  </si>
  <si>
    <t>Impulse Skewer</t>
  </si>
  <si>
    <t>Weapon reworks are being worked on even if they're not in this patch!</t>
  </si>
  <si>
    <t>Bard has 1 less MP.</t>
  </si>
  <si>
    <t>MR: 7 -&gt; 6</t>
  </si>
  <si>
    <t>micro is a nerd</t>
  </si>
  <si>
    <t>If you would like to comment on the Patch Notes, PM either Taistelu, MMM, microwavable, Pancake or Moq (people who work on balancing specifically) or use the Ability Suggestion Form (idk who has access to that though).</t>
  </si>
  <si>
    <t>Leg Sweep</t>
  </si>
  <si>
    <t>Clarify that it lasts one turn.</t>
  </si>
  <si>
    <t>Turn Order</t>
  </si>
  <si>
    <t>Rising Hope</t>
  </si>
  <si>
    <t>MR: 5 -&gt; 4</t>
  </si>
  <si>
    <r>
      <rPr>
        <rFont val="arial,sans,sans-serif"/>
        <strike/>
        <color rgb="FFFFFFFF"/>
        <sz val="12.0"/>
      </rPr>
      <t>d20+MP</t>
    </r>
    <r>
      <rPr>
        <rFont val="arial,sans,sans-serif"/>
        <color rgb="FFFFFFFF"/>
        <sz val="12.0"/>
      </rPr>
      <t xml:space="preserve"> -&gt; d8+MP</t>
    </r>
  </si>
  <si>
    <t>Switching class/branch</t>
  </si>
  <si>
    <t>Now only affects the Bard and teammates in melee range of the Bard.</t>
  </si>
  <si>
    <t>Players can switch class/weapon without having to reach level 3.</t>
  </si>
  <si>
    <t>Backstep</t>
  </si>
  <si>
    <t>Charged Blow</t>
  </si>
  <si>
    <t>Clarify that Backstep cannot be diagonal.</t>
  </si>
  <si>
    <t>Skirm has one extra MP.</t>
  </si>
  <si>
    <t>Now does an additional 10 damage if used as a setup move.</t>
  </si>
  <si>
    <t>9/17/16</t>
  </si>
  <si>
    <t>Quick Thinking</t>
  </si>
  <si>
    <t>CyroKinesis</t>
  </si>
  <si>
    <t>Phantasmal Strike</t>
  </si>
  <si>
    <r>
      <rPr>
        <rFont val="arial,sans,sans-serif"/>
        <color rgb="FFFFFFFF"/>
        <sz val="12.0"/>
      </rPr>
      <t xml:space="preserve">MP: </t>
    </r>
    <r>
      <rPr>
        <rFont val="arial,sans,sans-serif"/>
        <strike/>
        <color rgb="FFFFFFFF"/>
        <sz val="12.0"/>
      </rPr>
      <t>2</t>
    </r>
    <r>
      <rPr>
        <rFont val="arial,sans,sans-serif"/>
        <color rgb="FFFFFFFF"/>
        <sz val="12.0"/>
      </rPr>
      <t xml:space="preserve"> -&gt; 3</t>
    </r>
  </si>
  <si>
    <t>Now only lets the Skirmisher move with half its normal MP rounded down.</t>
  </si>
  <si>
    <t>Frozen Heart</t>
  </si>
  <si>
    <t>Roll: 2d8+10 -&gt; 2d8+12</t>
  </si>
  <si>
    <t>Now also makes the user immune to roots.</t>
  </si>
  <si>
    <t>Invoke:Ice</t>
  </si>
  <si>
    <t>If the opponent's accuracy roll is 16+, they lose one dice on 
their attack.</t>
  </si>
  <si>
    <t>Turn order will now be based by rolling 1d20 and then adding your movement to the roll.</t>
  </si>
  <si>
    <t>Host Guide</t>
  </si>
  <si>
    <t>Comet</t>
  </si>
  <si>
    <t>For those who wish to take up hosting in BD4, there is now a hosting guide in the Home Page.</t>
  </si>
  <si>
    <t>Clarify that Comet isn't affected by Invoke:Fire.</t>
  </si>
  <si>
    <t>Heart Shield</t>
  </si>
  <si>
    <t>For all cases in which Heart Shield activates, Heart Shield now gives +1 evasion instead of +2.</t>
  </si>
  <si>
    <t>Etruia</t>
  </si>
  <si>
    <t>Now gains 1 extra ATK at level 4 and level 5</t>
  </si>
  <si>
    <t>Swipe</t>
  </si>
  <si>
    <r>
      <rPr>
        <strike/>
        <color rgb="FFFFFFFF"/>
        <sz val="12.0"/>
      </rPr>
      <t>1d6+10</t>
    </r>
    <r>
      <rPr>
        <color rgb="FFFFFFFF"/>
        <sz val="12.0"/>
      </rPr>
      <t xml:space="preserve"> -&gt; 2d8+10</t>
    </r>
  </si>
  <si>
    <r>
      <rPr>
        <rFont val="arial,sans,sans-serif"/>
        <strike/>
        <color rgb="FFFFFFFF"/>
        <sz val="12.0"/>
      </rPr>
      <t>Level 2</t>
    </r>
    <r>
      <rPr>
        <rFont val="arial,sans,sans-serif"/>
        <color rgb="FFFFFFFF"/>
        <sz val="12.0"/>
      </rPr>
      <t xml:space="preserve"> -&gt; Level 3</t>
    </r>
  </si>
  <si>
    <r>
      <rPr>
        <rFont val="arial,sans,sans-serif"/>
        <strike/>
        <color rgb="FFFFFFFF"/>
        <sz val="12.0"/>
      </rPr>
      <t>10 HP recoi</t>
    </r>
    <r>
      <rPr>
        <rFont val="arial,sans,sans-serif"/>
        <color rgb="FFFFFFFF"/>
        <sz val="12.0"/>
      </rPr>
      <t>l -&gt; 15 HP recoil</t>
    </r>
  </si>
  <si>
    <t>Blunt Force</t>
  </si>
  <si>
    <r>
      <rPr>
        <rFont val="arial,sans,sans-serif"/>
        <strike/>
        <color rgb="FFFFFFFF"/>
        <sz val="12.0"/>
      </rPr>
      <t>2d10+10</t>
    </r>
    <r>
      <rPr>
        <rFont val="arial,sans,sans-serif"/>
        <color rgb="FFFFFFFF"/>
        <sz val="12.0"/>
      </rPr>
      <t xml:space="preserve"> -&gt; 2d10+2</t>
    </r>
  </si>
  <si>
    <r>
      <rPr>
        <rFont val="arial,sans,sans-serif"/>
        <strike/>
        <color rgb="FFFFFFFF"/>
        <sz val="12.0"/>
      </rPr>
      <t>Level 3</t>
    </r>
    <r>
      <rPr>
        <rFont val="arial,sans,sans-serif"/>
        <color rgb="FFFFFFFF"/>
        <sz val="12.0"/>
      </rPr>
      <t xml:space="preserve"> -&gt; Level 2</t>
    </r>
  </si>
  <si>
    <r>
      <rPr>
        <strike/>
        <color rgb="FFFFFFFF"/>
        <sz val="12.0"/>
      </rPr>
      <t>2d6+8</t>
    </r>
    <r>
      <rPr>
        <color rgb="FFFFFFFF"/>
        <sz val="12.0"/>
      </rPr>
      <t xml:space="preserve"> -&gt; 3d8+12</t>
    </r>
  </si>
  <si>
    <r>
      <rPr>
        <rFont val="arial,sans,sans-serif"/>
        <strike/>
        <color rgb="FFFFFFFF"/>
        <sz val="12.0"/>
      </rPr>
      <t>Level 4</t>
    </r>
    <r>
      <rPr>
        <rFont val="arial,sans,sans-serif"/>
        <color rgb="FFFFFFFF"/>
        <sz val="12.0"/>
      </rPr>
      <t xml:space="preserve"> -&gt; Level 5</t>
    </r>
  </si>
  <si>
    <r>
      <rPr>
        <color rgb="FFFFFFFF"/>
        <sz val="12.0"/>
      </rPr>
      <t xml:space="preserve">Frequency: </t>
    </r>
    <r>
      <rPr>
        <strike/>
        <color rgb="FFFFFFFF"/>
        <sz val="12.0"/>
      </rPr>
      <t>Twice</t>
    </r>
    <r>
      <rPr>
        <color rgb="FFFFFFFF"/>
        <sz val="12.0"/>
      </rPr>
      <t xml:space="preserve"> -&gt; Once</t>
    </r>
  </si>
  <si>
    <r>
      <rPr>
        <rFont val="arial,sans,sans-serif"/>
        <color rgb="FFFFFFFF"/>
        <sz val="12.0"/>
      </rPr>
      <t xml:space="preserve">Critical hit range is </t>
    </r>
    <r>
      <rPr>
        <rFont val="arial,sans,sans-serif"/>
        <strike/>
        <color rgb="FFFFFFFF"/>
        <sz val="12.0"/>
      </rPr>
      <t>18+</t>
    </r>
    <r>
      <rPr>
        <rFont val="arial,sans,sans-serif"/>
        <color rgb="FFFFFFFF"/>
        <sz val="12.0"/>
      </rPr>
      <t xml:space="preserve"> 14+</t>
    </r>
  </si>
  <si>
    <r>
      <rPr>
        <rFont val="arial,sans,sans-serif"/>
        <strike/>
        <color rgb="FFFFFFFF"/>
        <sz val="12.0"/>
      </rPr>
      <t>Level 5</t>
    </r>
    <r>
      <rPr>
        <rFont val="arial,sans,sans-serif"/>
        <color rgb="FFFFFFFF"/>
        <sz val="12.0"/>
      </rPr>
      <t xml:space="preserve"> -&gt; Level 4</t>
    </r>
  </si>
  <si>
    <t>Renamed to Marksman | Additional effect: +1d10 damage dice if at 7-8 range</t>
  </si>
  <si>
    <r>
      <rPr>
        <color rgb="FFFFFFFF"/>
        <sz val="12.0"/>
      </rPr>
      <t xml:space="preserve">Frequency: </t>
    </r>
    <r>
      <rPr>
        <strike/>
        <color rgb="FFFFFFFF"/>
        <sz val="12.0"/>
      </rPr>
      <t>Twice</t>
    </r>
    <r>
      <rPr>
        <color rgb="FFFFFFFF"/>
        <sz val="12.0"/>
      </rPr>
      <t xml:space="preserve"> -&gt; Once</t>
    </r>
  </si>
  <si>
    <r>
      <rPr>
        <rFont val="arial,sans,sans-serif"/>
        <strike/>
        <color rgb="FFFFFFFF"/>
        <sz val="12.0"/>
      </rPr>
      <t>3d10+5</t>
    </r>
    <r>
      <rPr>
        <rFont val="arial,sans,sans-serif"/>
        <color rgb="FFFFFFFF"/>
        <sz val="12.0"/>
      </rPr>
      <t xml:space="preserve"> -&gt; 3d10+2</t>
    </r>
  </si>
  <si>
    <r>
      <rPr>
        <strike/>
        <color rgb="FFFFFFFF"/>
        <sz val="12.0"/>
      </rPr>
      <t>Roll: 5d10+5</t>
    </r>
    <r>
      <rPr>
        <strike val="0"/>
        <color rgb="FFFFFFFF"/>
        <sz val="12.0"/>
      </rPr>
      <t xml:space="preserve"> -&gt; 6d8+10</t>
    </r>
  </si>
  <si>
    <r>
      <rPr>
        <rFont val="arial,sans,sans-serif"/>
        <color rgb="FFFFFFFF"/>
        <sz val="12.0"/>
      </rPr>
      <t xml:space="preserve">Roll: </t>
    </r>
    <r>
      <rPr>
        <rFont val="arial,sans,sans-serif"/>
        <strike/>
        <color rgb="FFFFFFFF"/>
        <sz val="12.0"/>
      </rPr>
      <t>3d10+5</t>
    </r>
    <r>
      <rPr>
        <rFont val="arial,sans,sans-serif"/>
        <color rgb="FFFFFFFF"/>
        <sz val="12.0"/>
      </rPr>
      <t xml:space="preserve"> -&gt; 5d10+5</t>
    </r>
  </si>
  <si>
    <t>Now only the first hit gets your Attack bonus.</t>
  </si>
  <si>
    <t>Marksman</t>
  </si>
  <si>
    <t>Basic Skills</t>
  </si>
  <si>
    <t>Magic Shot (W)</t>
  </si>
  <si>
    <r>
      <rPr>
        <strike/>
        <color rgb="FFFFFFFF"/>
        <sz val="12.0"/>
      </rPr>
      <t>+1d10 at 7 to 8 range</t>
    </r>
    <r>
      <rPr>
        <color rgb="FFFFFFFF"/>
        <sz val="12.0"/>
      </rPr>
      <t xml:space="preserve"> -&gt; +1d10 at 8 range</t>
    </r>
  </si>
  <si>
    <r>
      <rPr>
        <rFont val="arial,sans,sans-serif"/>
        <color rgb="FFFFFFFF"/>
        <sz val="12.0"/>
      </rPr>
      <t xml:space="preserve">Removed: </t>
    </r>
    <r>
      <rPr>
        <rFont val="arial,sans,sans-serif"/>
        <strike/>
        <color rgb="FFFFFFFF"/>
        <sz val="12.0"/>
      </rPr>
      <t>Longbows can't Backstep.</t>
    </r>
  </si>
  <si>
    <r>
      <rPr>
        <rFont val="arial,sans,sans-serif"/>
        <color rgb="FFFFFFFF"/>
        <sz val="12.0"/>
      </rPr>
      <t xml:space="preserve">Miss Rate </t>
    </r>
    <r>
      <rPr>
        <rFont val="arial,sans,sans-serif"/>
        <strike/>
        <color rgb="FFFFFFFF"/>
        <sz val="12.0"/>
      </rPr>
      <t>1</t>
    </r>
    <r>
      <rPr>
        <rFont val="arial,sans,sans-serif"/>
        <color rgb="FFFFFFFF"/>
        <sz val="12.0"/>
      </rPr>
      <t xml:space="preserve"> -&gt;  3</t>
    </r>
  </si>
  <si>
    <t>Dash</t>
  </si>
  <si>
    <t>(completely reworked to:)</t>
  </si>
  <si>
    <t>Crippling Shot</t>
  </si>
  <si>
    <t>Wall of Air</t>
  </si>
  <si>
    <t>Line 2 | One target | 2d8+5 | MR 3 | If the attack lands target has -2 acc on their next move</t>
  </si>
  <si>
    <t>Fixed a typo that makes it sound like dash  gives you an additional 150%</t>
  </si>
  <si>
    <t xml:space="preserve">Old effect removed. New effect: You can choose to make this wall a straight 5x1 wall or a ringed wall with 3 diameter around yourself. Ranged attacks that pass through the wall get -2 accuracy and deal 50% damage rounded down. The wall itself is a slow terrain (requiring two movement to move onto). This wall lasts 5 turns, ending at the spellbooks turn or until the spellbook who cast this dies. You can only have one Wall of Air on the field at a time. </t>
  </si>
  <si>
    <t>Energize</t>
  </si>
  <si>
    <r>
      <rPr>
        <strike/>
        <color rgb="FFFFFFFF"/>
        <sz val="12.0"/>
      </rPr>
      <t>Roll: 2d10+6</t>
    </r>
    <r>
      <rPr>
        <color rgb="FFFFFFFF"/>
        <sz val="12.0"/>
      </rPr>
      <t xml:space="preserve"> -&gt; 1d10+6</t>
    </r>
  </si>
  <si>
    <t>Attacks of Opportunity</t>
  </si>
  <si>
    <r>
      <rPr>
        <rFont val="arial,sans,sans-serif"/>
        <strike/>
        <color rgb="FFFFFFFF"/>
        <sz val="12.0"/>
      </rPr>
      <t>-20 HP</t>
    </r>
    <r>
      <rPr>
        <rFont val="arial,sans,sans-serif"/>
        <color rgb="FFFFFFFF"/>
        <sz val="12.0"/>
      </rPr>
      <t xml:space="preserve"> -&gt; -15 HP</t>
    </r>
  </si>
  <si>
    <t>Added AoO's as a Basic Skill</t>
  </si>
  <si>
    <r>
      <rPr>
        <rFont val="arial,sans,sans-serif"/>
        <color rgb="FFFFFFFF"/>
        <sz val="12.0"/>
      </rPr>
      <t xml:space="preserve">Removed: </t>
    </r>
    <r>
      <rPr>
        <rFont val="arial,sans,sans-serif"/>
        <strike/>
        <color rgb="FFFFFFFF"/>
        <sz val="12.0"/>
      </rPr>
      <t>This attack always hits.</t>
    </r>
  </si>
  <si>
    <r>
      <rPr>
        <rFont val="arial,sans,sans-serif"/>
        <color rgb="FFFFFFFF"/>
        <sz val="12.0"/>
      </rPr>
      <t xml:space="preserve">Level </t>
    </r>
    <r>
      <rPr>
        <rFont val="arial,sans,sans-serif"/>
        <strike/>
        <color rgb="FFFFFFFF"/>
        <sz val="12.0"/>
      </rPr>
      <t>1</t>
    </r>
    <r>
      <rPr>
        <rFont val="arial,sans,sans-serif"/>
        <color rgb="FFFFFFFF"/>
        <sz val="12.0"/>
      </rPr>
      <t xml:space="preserve"> -&gt; 3</t>
    </r>
  </si>
  <si>
    <t>Miss rate: 1</t>
  </si>
  <si>
    <t>Berserk</t>
  </si>
  <si>
    <t>Class Skills</t>
  </si>
  <si>
    <t>Earth Bind</t>
  </si>
  <si>
    <t>CryoKinesis</t>
  </si>
  <si>
    <r>
      <rPr>
        <rFont val="arial,sans,sans-serif"/>
        <strike/>
        <color rgb="FFFFFFFF"/>
        <sz val="12.0"/>
      </rPr>
      <t>Level 2</t>
    </r>
    <r>
      <rPr>
        <rFont val="arial,sans,sans-serif"/>
        <color rgb="FFFFFFFF"/>
        <sz val="12.0"/>
      </rPr>
      <t xml:space="preserve"> -&gt; Level 3</t>
    </r>
  </si>
  <si>
    <t>Now requires 20 HP to be sacrificed instead of 10</t>
  </si>
  <si>
    <r>
      <rPr>
        <color rgb="FFFFFFFF"/>
        <sz val="12.0"/>
      </rPr>
      <t xml:space="preserve">Frequency: </t>
    </r>
    <r>
      <rPr>
        <strike/>
        <color rgb="FFFFFFFF"/>
        <sz val="12.0"/>
      </rPr>
      <t>Passive</t>
    </r>
    <r>
      <rPr>
        <color rgb="FFFFFFFF"/>
        <sz val="12.0"/>
      </rPr>
      <t xml:space="preserve"> -&gt; Free/Trigger</t>
    </r>
  </si>
  <si>
    <r>
      <rPr>
        <rFont val="arial,sans,sans-serif"/>
        <color rgb="FFFFFFFF"/>
        <sz val="12.0"/>
      </rPr>
      <t xml:space="preserve">Level </t>
    </r>
    <r>
      <rPr>
        <rFont val="arial,sans,sans-serif"/>
        <strike/>
        <color rgb="FFFFFFFF"/>
        <sz val="12.0"/>
      </rPr>
      <t>3</t>
    </r>
    <r>
      <rPr>
        <rFont val="arial,sans,sans-serif"/>
        <color rgb="FFFFFFFF"/>
        <sz val="12.0"/>
      </rPr>
      <t xml:space="preserve"> -&gt; 1</t>
    </r>
  </si>
  <si>
    <r>
      <rPr>
        <rFont val="arial,sans,sans-serif"/>
        <color rgb="FFFFFFFF"/>
      </rPr>
      <t>Frequency</t>
    </r>
    <r>
      <rPr>
        <rFont val="arial,sans,sans-serif"/>
        <color rgb="FFFFFFFF"/>
        <sz val="12.0"/>
      </rPr>
      <t xml:space="preserve">: </t>
    </r>
    <r>
      <rPr>
        <rFont val="arial,sans,sans-serif"/>
        <strike/>
        <color rgb="FFFFFFFF"/>
        <sz val="12.0"/>
      </rPr>
      <t>EoT</t>
    </r>
    <r>
      <rPr>
        <rFont val="arial,sans,sans-serif"/>
        <color rgb="FFFFFFFF"/>
      </rPr>
      <t xml:space="preserve"> -&gt; Every Turn</t>
    </r>
  </si>
  <si>
    <t>Life Drain</t>
  </si>
  <si>
    <r>
      <rPr>
        <rFont val="arial,sans,sans-serif"/>
        <strike/>
        <color rgb="FFFFFFFF"/>
        <sz val="12.0"/>
      </rPr>
      <t>Level 3</t>
    </r>
    <r>
      <rPr>
        <rFont val="arial,sans,sans-serif"/>
        <color rgb="FFFFFFFF"/>
        <sz val="12.0"/>
      </rPr>
      <t xml:space="preserve"> -&gt; Level 2</t>
    </r>
  </si>
  <si>
    <t>Changed the spelling of the class</t>
  </si>
  <si>
    <t>Blizzard</t>
  </si>
  <si>
    <t>Incinerate</t>
  </si>
  <si>
    <t>Invoke: Ice</t>
  </si>
  <si>
    <t>Explosive Shot</t>
  </si>
  <si>
    <r>
      <rPr>
        <rFont val="arial,sans,sans-serif"/>
        <strike/>
        <color rgb="FFFFFFFF"/>
        <sz val="12.0"/>
      </rPr>
      <t>Level 4</t>
    </r>
    <r>
      <rPr>
        <rFont val="arial,sans,sans-serif"/>
        <color rgb="FFFFFFFF"/>
        <sz val="12.0"/>
      </rPr>
      <t xml:space="preserve"> -&gt; Level 5</t>
    </r>
  </si>
  <si>
    <t>Moved down to level 2</t>
  </si>
  <si>
    <t>No longer inflicts burn damage.</t>
  </si>
  <si>
    <r>
      <rPr>
        <rFont val="arial,sans,sans-serif"/>
        <strike/>
        <color rgb="FFFFFFFF"/>
        <sz val="12.0"/>
      </rPr>
      <t>2d8+10</t>
    </r>
    <r>
      <rPr>
        <rFont val="arial,sans,sans-serif"/>
        <strike val="0"/>
        <color rgb="FFFFFFFF"/>
        <sz val="12.0"/>
      </rPr>
      <t xml:space="preserve"> -&gt; 2d8+5</t>
    </r>
  </si>
  <si>
    <t>PyroKinetic</t>
  </si>
  <si>
    <r>
      <rPr>
        <rFont val="arial,sans,sans-serif"/>
        <strike/>
        <color rgb="FFFFFFFF"/>
        <sz val="12.0"/>
      </rPr>
      <t>Level 5</t>
    </r>
    <r>
      <rPr>
        <rFont val="arial,sans,sans-serif"/>
        <color rgb="FFFFFFFF"/>
        <sz val="12.0"/>
      </rPr>
      <t xml:space="preserve"> -&gt; Level 4</t>
    </r>
  </si>
  <si>
    <t>Potential Energy</t>
  </si>
  <si>
    <t>Rupture</t>
  </si>
  <si>
    <t>PE no longer loses all of the stacks if you use a different attack or don't attack</t>
  </si>
  <si>
    <r>
      <rPr>
        <rFont val="arial,sans,sans-serif"/>
        <strike/>
        <color rgb="FFFFFFFF"/>
        <sz val="12.0"/>
      </rPr>
      <t>2d8+6</t>
    </r>
    <r>
      <rPr>
        <rFont val="arial,sans,sans-serif"/>
        <strike val="0"/>
        <color rgb="FFFFFFFF"/>
        <sz val="12.0"/>
      </rPr>
      <t xml:space="preserve"> -&gt; 3d8+10</t>
    </r>
  </si>
  <si>
    <r>
      <rPr>
        <rFont val="arial,sans,sans-serif"/>
        <color rgb="FFFFFFFF"/>
        <sz val="12.0"/>
      </rPr>
      <t xml:space="preserve">MR: </t>
    </r>
    <r>
      <rPr>
        <rFont val="arial,sans,sans-serif"/>
        <strike/>
        <color rgb="FFFFFFFF"/>
        <sz val="12.0"/>
      </rPr>
      <t>3</t>
    </r>
    <r>
      <rPr>
        <rFont val="arial,sans,sans-serif"/>
        <color rgb="FFFFFFFF"/>
        <sz val="12.0"/>
      </rPr>
      <t xml:space="preserve"> -&gt; 4</t>
    </r>
  </si>
  <si>
    <t>Ki Blade</t>
  </si>
  <si>
    <t>Removed Bleed Effect.</t>
  </si>
  <si>
    <r>
      <rPr>
        <color rgb="FFFFFFFF"/>
        <sz val="12.0"/>
      </rPr>
      <t xml:space="preserve">Roll: </t>
    </r>
    <r>
      <rPr>
        <strike/>
        <color rgb="FFFFFFFF"/>
        <sz val="12.0"/>
      </rPr>
      <t>2d6+6</t>
    </r>
    <r>
      <rPr>
        <color rgb="FFFFFFFF"/>
        <sz val="12.0"/>
      </rPr>
      <t xml:space="preserve"> -&gt; 2d8+6</t>
    </r>
  </si>
  <si>
    <t>New: Comet's damage can't be affected by any outside modifier and does not gain bonus magic damage</t>
  </si>
  <si>
    <r>
      <rPr>
        <rFont val="arial,sans,sans-serif"/>
        <color rgb="FFFFFFFF"/>
        <sz val="12.0"/>
      </rPr>
      <t xml:space="preserve">MR: </t>
    </r>
    <r>
      <rPr>
        <rFont val="arial,sans,sans-serif"/>
        <strike/>
        <color rgb="FFFFFFFF"/>
        <sz val="12.0"/>
      </rPr>
      <t>3</t>
    </r>
    <r>
      <rPr>
        <rFont val="arial,sans,sans-serif"/>
        <color rgb="FFFFFFFF"/>
        <sz val="12.0"/>
      </rPr>
      <t xml:space="preserve"> -&gt; 6</t>
    </r>
  </si>
  <si>
    <t>Ignores target's evasion and any outside factors to 
damage originating from the enemy</t>
  </si>
  <si>
    <t>Seido</t>
  </si>
  <si>
    <t>Ignition</t>
  </si>
  <si>
    <t>Clarified that Ignite doesn't stack with itself</t>
  </si>
  <si>
    <r>
      <rPr>
        <color rgb="FFFFFFFF"/>
        <sz val="12.0"/>
      </rPr>
      <t xml:space="preserve">Roll: </t>
    </r>
    <r>
      <rPr>
        <strike/>
        <color rgb="FFFFFFFF"/>
        <sz val="12.0"/>
      </rPr>
      <t>2d6+6</t>
    </r>
    <r>
      <rPr>
        <color rgb="FFFFFFFF"/>
        <sz val="12.0"/>
      </rPr>
      <t xml:space="preserve"> -&gt; 2d8+6</t>
    </r>
  </si>
  <si>
    <t>Range Burst 2 -&gt; Burst 1</t>
  </si>
  <si>
    <r>
      <rPr>
        <rFont val="arial,sans,sans-serif"/>
        <color rgb="FFFFFFFF"/>
        <sz val="12.0"/>
      </rPr>
      <t xml:space="preserve">MR: </t>
    </r>
    <r>
      <rPr>
        <rFont val="arial,sans,sans-serif"/>
        <strike/>
        <color rgb="FFFFFFFF"/>
        <sz val="12.0"/>
      </rPr>
      <t>5</t>
    </r>
    <r>
      <rPr>
        <rFont val="arial,sans,sans-serif"/>
        <color rgb="FFFFFFFF"/>
        <sz val="12.0"/>
      </rPr>
      <t xml:space="preserve"> -&gt; 3</t>
    </r>
  </si>
  <si>
    <t>Runner Up</t>
  </si>
  <si>
    <r>
      <rPr>
        <color rgb="FFFFFFFF"/>
        <sz val="12.0"/>
      </rPr>
      <t xml:space="preserve">Roll: </t>
    </r>
    <r>
      <rPr>
        <strike/>
        <color rgb="FFFFFFFF"/>
        <sz val="12.0"/>
      </rPr>
      <t>2d6+4</t>
    </r>
    <r>
      <rPr>
        <color rgb="FFFFFFFF"/>
        <sz val="12.0"/>
      </rPr>
      <t xml:space="preserve"> -&gt; 2d8+4</t>
    </r>
  </si>
  <si>
    <t>Removed</t>
  </si>
  <si>
    <r>
      <rPr>
        <rFont val="arial,sans,sans-serif"/>
        <color rgb="FFFFFFFF"/>
        <sz val="12.0"/>
      </rPr>
      <t xml:space="preserve">Bonus  damage from bleed: </t>
    </r>
    <r>
      <rPr>
        <rFont val="arial,sans,sans-serif"/>
        <strike/>
        <color rgb="FFFFFFFF"/>
        <sz val="12.0"/>
      </rPr>
      <t>10</t>
    </r>
    <r>
      <rPr>
        <rFont val="arial,sans,sans-serif"/>
        <color rgb="FFFFFFFF"/>
        <sz val="12.0"/>
      </rPr>
      <t xml:space="preserve"> -&gt; 15</t>
    </r>
  </si>
  <si>
    <t>Level 1 Skirmisher ability. Allows skirmishers to use their move action after their standard action. This is a passive ability.</t>
  </si>
  <si>
    <r>
      <rPr>
        <color rgb="FFFFFFFF"/>
        <sz val="12.0"/>
      </rPr>
      <t xml:space="preserve">MR: </t>
    </r>
    <r>
      <rPr>
        <strike/>
        <color rgb="FFFFFFFF"/>
        <sz val="12.0"/>
      </rPr>
      <t>2</t>
    </r>
    <r>
      <rPr>
        <color rgb="FFFFFFFF"/>
        <sz val="12.0"/>
      </rPr>
      <t xml:space="preserve"> -&gt; 3</t>
    </r>
  </si>
  <si>
    <t>Evade</t>
  </si>
  <si>
    <r>
      <rPr>
        <color rgb="FFFFFFFF"/>
        <sz val="12.0"/>
      </rPr>
      <t xml:space="preserve">Roll: </t>
    </r>
    <r>
      <rPr>
        <strike/>
        <color rgb="FFFFFFFF"/>
        <sz val="12.0"/>
      </rPr>
      <t>3d6+8</t>
    </r>
    <r>
      <rPr>
        <color rgb="FFFFFFFF"/>
        <sz val="12.0"/>
      </rPr>
      <t xml:space="preserve"> -&gt; 3d8+8</t>
    </r>
  </si>
  <si>
    <t>Weapon Skills</t>
  </si>
  <si>
    <r>
      <rPr>
        <rFont val="arial,sans,sans-serif"/>
        <color rgb="FFFFFFFF"/>
        <sz val="12.0"/>
      </rPr>
      <t xml:space="preserve">Evasions: </t>
    </r>
    <r>
      <rPr>
        <rFont val="arial,sans,sans-serif"/>
        <strike/>
        <color rgb="FFFFFFFF"/>
        <sz val="12.0"/>
      </rPr>
      <t>1,1,2,2,2</t>
    </r>
    <r>
      <rPr>
        <rFont val="arial,sans,sans-serif"/>
        <color rgb="FFFFFFFF"/>
        <sz val="12.0"/>
      </rPr>
      <t xml:space="preserve"> -&gt; 0,0,0,1,1</t>
    </r>
  </si>
  <si>
    <t>Heavy - Polearm</t>
  </si>
  <si>
    <t>Radiance</t>
  </si>
  <si>
    <t>Power Swing</t>
  </si>
  <si>
    <t>+2 acc effect when target is bleeding has been removed</t>
  </si>
  <si>
    <r>
      <rPr>
        <rFont val="arial,sans,sans-serif"/>
        <strike/>
        <color rgb="FFFFFFFF"/>
        <sz val="12.0"/>
      </rPr>
      <t>3d10+15</t>
    </r>
    <r>
      <rPr>
        <rFont val="arial,sans,sans-serif"/>
        <color rgb="FFFFFFFF"/>
        <sz val="12.0"/>
      </rPr>
      <t xml:space="preserve"> -&gt; 2d10+10</t>
    </r>
  </si>
  <si>
    <t>Iron Defense</t>
  </si>
  <si>
    <r>
      <rPr>
        <rFont val="arial,sans,sans-serif"/>
        <strike/>
        <color rgb="FFFFFFFF"/>
        <sz val="12.0"/>
      </rPr>
      <t>3d10+10</t>
    </r>
    <r>
      <rPr>
        <rFont val="arial,sans,sans-serif"/>
        <color rgb="FFFFFFFF"/>
        <sz val="12.0"/>
      </rPr>
      <t xml:space="preserve"> -&gt; 2d10+6</t>
    </r>
  </si>
  <si>
    <t>Defensive Stance</t>
  </si>
  <si>
    <t>Moved down to level 4</t>
  </si>
  <si>
    <r>
      <rPr>
        <rFont val="arial,sans,sans-serif"/>
        <color rgb="FFFFFFFF"/>
        <sz val="12.0"/>
      </rPr>
      <t xml:space="preserve">Miss rate </t>
    </r>
    <r>
      <rPr>
        <rFont val="arial,sans,sans-serif"/>
        <strike/>
        <color rgb="FFFFFFFF"/>
        <sz val="12.0"/>
      </rPr>
      <t>5</t>
    </r>
    <r>
      <rPr>
        <rFont val="arial,sans,sans-serif"/>
        <color rgb="FFFFFFFF"/>
        <sz val="12.0"/>
      </rPr>
      <t xml:space="preserve"> -&gt; 4</t>
    </r>
  </si>
  <si>
    <t>Now only gives +3 in both evasions</t>
  </si>
  <si>
    <t>a</t>
  </si>
  <si>
    <t>Polearm is a brusier. Sporting some of the highest damaging stats and attacks, however no one needs a 3d10+15 at level 1.</t>
  </si>
  <si>
    <t>Oath of Mercy</t>
  </si>
  <si>
    <t>Rapier BUFF</t>
  </si>
  <si>
    <t>Past Version: 4.3 Home Page!</t>
  </si>
  <si>
    <t>Level 5 Guardian ability. As a Swift action the Guardian gains +10 Damage Resistance until the end of their next turn. This ability has a frequency of Once.</t>
  </si>
  <si>
    <t>Glide</t>
  </si>
  <si>
    <t>No longer makes backstep a free action</t>
  </si>
  <si>
    <t>At level 5, 2 extra ATK, 1 extra MAG, 5 extra HP.</t>
  </si>
  <si>
    <t>While extra movement for free might be awesome, it gives the skirmisher almost too much fun avoiding attacks of opportunity, additionally glide only giving 2x Movement makes it more in line with other skills</t>
  </si>
  <si>
    <t>Shadow Spear</t>
  </si>
  <si>
    <t>Ability Resources</t>
  </si>
  <si>
    <r>
      <rPr>
        <color rgb="FFFFFFFF"/>
        <sz val="12.0"/>
      </rPr>
      <t xml:space="preserve">Roll: </t>
    </r>
    <r>
      <rPr>
        <strike/>
        <color rgb="FFFFFFFF"/>
        <sz val="12.0"/>
      </rPr>
      <t>2d6+4</t>
    </r>
    <r>
      <rPr>
        <color rgb="FFFFFFFF"/>
        <sz val="12.0"/>
      </rPr>
      <t xml:space="preserve"> -&gt; 2d8+4</t>
    </r>
  </si>
  <si>
    <t>Ki Blade no longer prevents the target from using AoO's</t>
  </si>
  <si>
    <t>Go Daegeki</t>
  </si>
  <si>
    <r>
      <rPr>
        <color rgb="FFFFFFFF"/>
        <sz val="12.0"/>
      </rPr>
      <t xml:space="preserve">Roll: </t>
    </r>
    <r>
      <rPr>
        <strike/>
        <color rgb="FFFFFFFF"/>
        <sz val="12.0"/>
      </rPr>
      <t>1d10+0</t>
    </r>
    <r>
      <rPr>
        <color rgb="FFFFFFFF"/>
        <sz val="12.0"/>
      </rPr>
      <t xml:space="preserve"> -&gt; 2d6+8</t>
    </r>
  </si>
  <si>
    <t>Renamed Ni Daegeki</t>
  </si>
  <si>
    <t>Riposte no longer gains ATK bonus.</t>
  </si>
  <si>
    <t>4.3 Monsters</t>
  </si>
  <si>
    <r>
      <rPr>
        <rFont val="arial,sans,sans-serif"/>
        <strike/>
        <color rgb="FFFFFFFF"/>
        <sz val="12.0"/>
      </rPr>
      <t>5-hit</t>
    </r>
    <r>
      <rPr>
        <rFont val="arial,sans,sans-serif"/>
        <color rgb="FFFFFFFF"/>
        <sz val="12.0"/>
      </rPr>
      <t xml:space="preserve"> -&gt; 2-hit</t>
    </r>
  </si>
  <si>
    <r>
      <rPr>
        <strike/>
        <color rgb="FFFFFFFF"/>
        <sz val="12.0"/>
      </rPr>
      <t>Impale</t>
    </r>
    <r>
      <rPr>
        <color rgb="FFFFFFFF"/>
        <sz val="12.0"/>
      </rPr>
      <t xml:space="preserve"> -&gt; Thrust</t>
    </r>
  </si>
  <si>
    <r>
      <rPr>
        <rFont val="arial,sans,sans-serif"/>
        <color rgb="FFFFFFFF"/>
        <sz val="12.0"/>
      </rPr>
      <t xml:space="preserve">Miss rate: </t>
    </r>
    <r>
      <rPr>
        <rFont val="arial,sans,sans-serif"/>
        <strike/>
        <color rgb="FFFFFFFF"/>
        <sz val="12.0"/>
      </rPr>
      <t>4/5/6/7/8</t>
    </r>
    <r>
      <rPr>
        <rFont val="arial,sans,sans-serif"/>
        <color rgb="FFFFFFFF"/>
        <sz val="12.0"/>
      </rPr>
      <t xml:space="preserve"> -&gt; 4</t>
    </r>
  </si>
  <si>
    <r>
      <rPr>
        <rFont val="arial,sans,sans-serif"/>
        <color rgb="FFFFFFFF"/>
        <sz val="12.0"/>
      </rPr>
      <t xml:space="preserve">Damage: </t>
    </r>
    <r>
      <rPr>
        <rFont val="arial,sans,sans-serif"/>
        <strike/>
        <color rgb="FFFFFFFF"/>
        <sz val="12.0"/>
      </rPr>
      <t>1d6+8</t>
    </r>
    <r>
      <rPr>
        <rFont val="arial,sans,sans-serif"/>
        <color rgb="FFFFFFFF"/>
        <sz val="12.0"/>
      </rPr>
      <t xml:space="preserve"> -&gt; 2d6+4</t>
    </r>
  </si>
  <si>
    <t>BETA CHANGELOG</t>
  </si>
  <si>
    <r>
      <rPr>
        <color rgb="FFFFFFFF"/>
        <sz val="12.0"/>
      </rPr>
      <t xml:space="preserve">Roll: </t>
    </r>
    <r>
      <rPr>
        <strike/>
        <color rgb="FFFFFFFF"/>
        <sz val="12.0"/>
      </rPr>
      <t>2d6+5</t>
    </r>
    <r>
      <rPr>
        <color rgb="FFFFFFFF"/>
        <sz val="12.0"/>
      </rPr>
      <t xml:space="preserve"> -&gt; 2d8+6</t>
    </r>
  </si>
  <si>
    <t>Range 3 -&gt; 5</t>
  </si>
  <si>
    <r>
      <rPr>
        <color rgb="FFFFFFFF"/>
        <sz val="12.0"/>
      </rPr>
      <t xml:space="preserve">Level: </t>
    </r>
    <r>
      <rPr>
        <strike/>
        <color rgb="FFFFFFFF"/>
        <sz val="12.0"/>
      </rPr>
      <t>4</t>
    </r>
    <r>
      <rPr>
        <color rgb="FFFFFFFF"/>
        <sz val="12.0"/>
      </rPr>
      <t xml:space="preserve"> -&gt; 2</t>
    </r>
  </si>
  <si>
    <r>
      <rPr>
        <rFont val="arial,sans,sans-serif"/>
        <color rgb="FFFFFFFF"/>
        <sz val="12.0"/>
      </rPr>
      <t xml:space="preserve">Frequency: </t>
    </r>
    <r>
      <rPr>
        <rFont val="arial,sans,sans-serif"/>
        <strike/>
        <color rgb="FFFFFFFF"/>
        <sz val="12.0"/>
      </rPr>
      <t>Twice</t>
    </r>
    <r>
      <rPr>
        <rFont val="arial,sans,sans-serif"/>
        <color rgb="FFFFFFFF"/>
        <sz val="12.0"/>
      </rPr>
      <t xml:space="preserve"> -&gt; EoT</t>
    </r>
  </si>
  <si>
    <r>
      <rPr>
        <rFont val="arial,sans,sans-serif"/>
        <color rgb="FFFFFFFF"/>
        <sz val="12.0"/>
      </rPr>
      <t xml:space="preserve">Damage </t>
    </r>
    <r>
      <rPr>
        <rFont val="arial,sans,sans-serif"/>
        <strike/>
        <color rgb="FFFFFFFF"/>
        <sz val="12.0"/>
      </rPr>
      <t>2d6+4</t>
    </r>
    <r>
      <rPr>
        <rFont val="arial,sans,sans-serif"/>
        <color rgb="FFFFFFFF"/>
        <sz val="12.0"/>
      </rPr>
      <t xml:space="preserve"> -&gt; 2d6+6</t>
    </r>
  </si>
  <si>
    <t>Phantom Force</t>
  </si>
  <si>
    <t>Effect: Until the end of the targets next turn they can't use attack of opportunities</t>
  </si>
  <si>
    <t>Old effect removed completely. New effect: +1 PEvade/MEvade if the attack hits for one turn.</t>
  </si>
  <si>
    <r>
      <rPr>
        <rFont val="arial,sans,sans-serif"/>
        <color rgb="FFFFFFFF"/>
        <sz val="12.0"/>
      </rPr>
      <t xml:space="preserve">Frequency </t>
    </r>
    <r>
      <rPr>
        <rFont val="arial,sans,sans-serif"/>
        <strike/>
        <color rgb="FFFFFFFF"/>
        <sz val="12.0"/>
      </rPr>
      <t>once</t>
    </r>
    <r>
      <rPr>
        <rFont val="arial,sans,sans-serif"/>
        <color rgb="FFFFFFFF"/>
        <sz val="12.0"/>
      </rPr>
      <t xml:space="preserve"> -&gt; twice</t>
    </r>
  </si>
  <si>
    <r>
      <rPr>
        <color rgb="FFFFFFFF"/>
        <sz val="12.0"/>
      </rPr>
      <t xml:space="preserve">Roll: </t>
    </r>
    <r>
      <rPr>
        <strike/>
        <color rgb="FFFFFFFF"/>
        <sz val="12.0"/>
      </rPr>
      <t>2d6+4</t>
    </r>
    <r>
      <rPr>
        <color rgb="FFFFFFFF"/>
        <sz val="12.0"/>
      </rPr>
      <t xml:space="preserve"> -&gt; 3d8+13</t>
    </r>
  </si>
  <si>
    <r>
      <rPr>
        <sz val="10.0"/>
      </rPr>
      <t xml:space="preserve">To use beta content, users must ask for special permission to host (betaperms). Beta games are looted as normal. </t>
    </r>
    <r>
      <rPr>
        <sz val="10.0"/>
        <u/>
      </rPr>
      <t>Changes found here are for feedback and playtesting purposes and are in no way final</t>
    </r>
    <r>
      <rPr>
        <sz val="10.0"/>
      </rPr>
      <t>. To discuss feedback, feel free to use the #suggestion_discussion channel or its Beta thread on the Discord or use the main chatroom.</t>
    </r>
  </si>
  <si>
    <t>Effect: Upon 14+ foes are sealed. Upon 18+ foes are sealed and slowed (2).</t>
  </si>
  <si>
    <r>
      <rPr>
        <color rgb="FFFFFFFF"/>
        <sz val="12.0"/>
      </rPr>
      <t xml:space="preserve">Frequency: </t>
    </r>
    <r>
      <rPr>
        <strike/>
        <color rgb="FFFFFFFF"/>
        <sz val="12.0"/>
      </rPr>
      <t>EoT</t>
    </r>
    <r>
      <rPr>
        <color rgb="FFFFFFFF"/>
        <sz val="12.0"/>
      </rPr>
      <t xml:space="preserve"> -&gt; Once</t>
    </r>
  </si>
  <si>
    <t>Lunge</t>
  </si>
  <si>
    <t>New Passive. The Gladius can choose to gain +5 damage for -2 accuracy up to two times (for a max of +10 and -4)</t>
  </si>
  <si>
    <r>
      <rPr>
        <color rgb="FFFFFFFF"/>
        <sz val="12.0"/>
      </rPr>
      <t xml:space="preserve">Level: </t>
    </r>
    <r>
      <rPr>
        <strike/>
        <color rgb="FFFFFFFF"/>
        <sz val="12.0"/>
      </rPr>
      <t>2</t>
    </r>
    <r>
      <rPr>
        <color rgb="FFFFFFFF"/>
        <sz val="12.0"/>
      </rPr>
      <t xml:space="preserve"> -&gt; 4</t>
    </r>
  </si>
  <si>
    <t>Date of Addition</t>
  </si>
  <si>
    <t>Impact</t>
  </si>
  <si>
    <t>Change</t>
  </si>
  <si>
    <t>Created By</t>
  </si>
  <si>
    <t>Approved By</t>
  </si>
  <si>
    <t>Impact no longer deals splash damage</t>
  </si>
  <si>
    <t>Last Edited</t>
  </si>
  <si>
    <r>
      <rPr>
        <rFont val="arial,sans,sans-serif"/>
        <color rgb="FFFFFFFF"/>
        <sz val="12.0"/>
      </rPr>
      <t xml:space="preserve">Damage: </t>
    </r>
    <r>
      <rPr>
        <rFont val="arial,sans,sans-serif"/>
        <strike/>
        <color rgb="FFFFFFFF"/>
        <sz val="12.0"/>
      </rPr>
      <t>3d8+10</t>
    </r>
    <r>
      <rPr>
        <rFont val="arial,sans,sans-serif"/>
        <color rgb="FFFFFFFF"/>
        <sz val="12.0"/>
      </rPr>
      <t xml:space="preserve"> -&gt; 3d8+5</t>
    </r>
  </si>
  <si>
    <t>Game Mod - Pokemon in the Dome</t>
  </si>
  <si>
    <r>
      <rPr>
        <color rgb="FFFFFFFF"/>
        <sz val="12.0"/>
      </rPr>
      <t xml:space="preserve">Frequency: </t>
    </r>
    <r>
      <rPr>
        <strike/>
        <color rgb="FFFFFFFF"/>
        <sz val="12.0"/>
      </rPr>
      <t>Every Turn</t>
    </r>
    <r>
      <rPr>
        <color rgb="FFFFFFFF"/>
        <sz val="12.0"/>
      </rPr>
      <t xml:space="preserve"> -&gt; EoT</t>
    </r>
  </si>
  <si>
    <t>Forward Thurst</t>
  </si>
  <si>
    <t>New! this attack gains +2 accuracy if used after backswing</t>
  </si>
  <si>
    <r>
      <rPr>
        <rFont val="arial,sans,sans-serif"/>
        <color rgb="FFFFFFFF"/>
        <sz val="12.0"/>
      </rPr>
      <t xml:space="preserve">Damage: </t>
    </r>
    <r>
      <rPr>
        <rFont val="arial,sans,sans-serif"/>
        <strike/>
        <color rgb="FFFFFFFF"/>
        <sz val="12.0"/>
      </rPr>
      <t>2d10+10</t>
    </r>
    <r>
      <rPr>
        <rFont val="arial,sans,sans-serif"/>
        <color rgb="FFFFFFFF"/>
        <sz val="12.0"/>
      </rPr>
      <t xml:space="preserve"> -&gt; 3d10+8</t>
    </r>
  </si>
  <si>
    <t>Salient</t>
  </si>
  <si>
    <r>
      <rPr>
        <rFont val="arial,sans,sans-serif"/>
        <color rgb="FFFFFFFF"/>
        <sz val="12.0"/>
      </rPr>
      <t xml:space="preserve">Damage: </t>
    </r>
    <r>
      <rPr>
        <rFont val="arial,sans,sans-serif"/>
        <strike/>
        <color rgb="FFFFFFFF"/>
        <sz val="12.0"/>
      </rPr>
      <t>2d10+2</t>
    </r>
    <r>
      <rPr>
        <rFont val="arial,sans,sans-serif"/>
        <color rgb="FFFFFFFF"/>
        <sz val="12.0"/>
      </rPr>
      <t xml:space="preserve"> -&gt; 3d10+5</t>
    </r>
  </si>
  <si>
    <t>28/06/2023</t>
  </si>
  <si>
    <r>
      <rPr>
        <rFont val="arial,sans,sans-serif"/>
        <color rgb="FFFFFFFF"/>
        <sz val="12.0"/>
      </rPr>
      <t xml:space="preserve">Miss Rate: </t>
    </r>
    <r>
      <rPr>
        <rFont val="arial,sans,sans-serif"/>
        <strike/>
        <color rgb="FFFFFFFF"/>
        <sz val="12.0"/>
      </rPr>
      <t>6</t>
    </r>
    <r>
      <rPr>
        <rFont val="arial,sans,sans-serif"/>
        <color rgb="FFFFFFFF"/>
        <sz val="12.0"/>
      </rPr>
      <t xml:space="preserve"> -&gt; 7</t>
    </r>
  </si>
  <si>
    <t>Class Abilities</t>
  </si>
  <si>
    <t>Trickster Branch (Coins, Cards, Dice)+New Tarot Cards+New Status: Ruin</t>
  </si>
  <si>
    <t>Crimson Collage</t>
  </si>
  <si>
    <r>
      <rPr>
        <rFont val="arial,sans,sans-serif"/>
        <color rgb="FFFFFFFF"/>
        <sz val="12.0"/>
      </rPr>
      <t xml:space="preserve">Critical hit: </t>
    </r>
    <r>
      <rPr>
        <rFont val="arial,sans,sans-serif"/>
        <strike/>
        <color rgb="FFFFFFFF"/>
        <sz val="12.0"/>
      </rPr>
      <t>15+</t>
    </r>
    <r>
      <rPr>
        <rFont val="arial,sans,sans-serif"/>
        <color rgb="FFFFFFFF"/>
        <sz val="12.0"/>
      </rPr>
      <t xml:space="preserve"> -&gt; 17+</t>
    </r>
  </si>
  <si>
    <t>Name</t>
  </si>
  <si>
    <r>
      <rPr>
        <rFont val="arial,sans,sans-serif"/>
        <color rgb="FFFFFFFF"/>
        <sz val="12.0"/>
      </rPr>
      <t xml:space="preserve">MR: </t>
    </r>
    <r>
      <rPr>
        <rFont val="arial,sans,sans-serif"/>
        <strike/>
        <color rgb="FFFFFFFF"/>
        <sz val="12.0"/>
      </rPr>
      <t>6</t>
    </r>
    <r>
      <rPr>
        <rFont val="arial,sans,sans-serif"/>
        <color rgb="FFFFFFFF"/>
        <sz val="12.0"/>
      </rPr>
      <t xml:space="preserve"> -&gt; 3</t>
    </r>
  </si>
  <si>
    <t>Lvl</t>
  </si>
  <si>
    <t>OHKOff</t>
  </si>
  <si>
    <t>Krytocon</t>
  </si>
  <si>
    <t>Snipe has an 18+ crit range and if it crits the longbow's next attack can't miss.</t>
  </si>
  <si>
    <t>Short Bow</t>
  </si>
  <si>
    <t>Frequency</t>
  </si>
  <si>
    <t>Weapon Branches</t>
  </si>
  <si>
    <t>PvE Rework</t>
  </si>
  <si>
    <t>MR</t>
  </si>
  <si>
    <t>The attack bonus applies only to the first hit</t>
  </si>
  <si>
    <t>Damage</t>
  </si>
  <si>
    <t>Archer</t>
  </si>
  <si>
    <t>Target</t>
  </si>
  <si>
    <t>Effect</t>
  </si>
  <si>
    <t>Celestial</t>
  </si>
  <si>
    <r>
      <rPr>
        <rFont val="arial,sans,sans-serif"/>
        <strike/>
        <color rgb="FFFFFFFF"/>
        <sz val="12.0"/>
      </rPr>
      <t>Free action</t>
    </r>
    <r>
      <rPr>
        <rFont val="arial,sans,sans-serif"/>
        <color rgb="FFFFFFFF"/>
        <sz val="12.0"/>
      </rPr>
      <t xml:space="preserve"> -&gt; Swift action</t>
    </r>
  </si>
  <si>
    <t>Roll</t>
  </si>
  <si>
    <t>Salient / Krytocon</t>
  </si>
  <si>
    <t>Clairvoyant</t>
  </si>
  <si>
    <t>Type</t>
  </si>
  <si>
    <t>Action Type</t>
  </si>
  <si>
    <t>Amount</t>
  </si>
  <si>
    <t>New: Lasts until the Shortbow has taken damage</t>
  </si>
  <si>
    <t>BD Game Mods</t>
  </si>
  <si>
    <t>Dark</t>
  </si>
  <si>
    <t>Group</t>
  </si>
  <si>
    <t>Range and Modifiers</t>
  </si>
  <si>
    <t>Dueler</t>
  </si>
  <si>
    <t>Basic Abilities</t>
  </si>
  <si>
    <r>
      <rPr>
        <rFont val="arial,sans,sans-serif"/>
        <color rgb="FFFFFFFF"/>
        <sz val="12.0"/>
      </rPr>
      <t xml:space="preserve">(Initial hit) </t>
    </r>
    <r>
      <rPr>
        <rFont val="arial,sans,sans-serif"/>
        <strike/>
        <color rgb="FFFFFFFF"/>
        <sz val="12.0"/>
      </rPr>
      <t>1d10</t>
    </r>
    <r>
      <rPr>
        <rFont val="arial,sans,sans-serif"/>
        <color rgb="FFFFFFFF"/>
        <sz val="12.0"/>
      </rPr>
      <t xml:space="preserve"> -&gt; 1d10+5</t>
    </r>
  </si>
  <si>
    <t>Fighter</t>
  </si>
  <si>
    <t>Basic Attack (P) / Basic Attack (M)</t>
  </si>
  <si>
    <t>Disable</t>
  </si>
  <si>
    <t>mistlo</t>
  </si>
  <si>
    <t>Heavy</t>
  </si>
  <si>
    <t>Elissem</t>
  </si>
  <si>
    <t>B</t>
  </si>
  <si>
    <t>Now takes a standard action and 25% of their maximum health to remove Disable (removing disable triggers AoO's as well)</t>
  </si>
  <si>
    <t>Every Turn</t>
  </si>
  <si>
    <t>Regal</t>
  </si>
  <si>
    <t>Fog</t>
  </si>
  <si>
    <t>1vE Beta</t>
  </si>
  <si>
    <t>1d10+2</t>
  </si>
  <si>
    <t>Physical or Magical</t>
  </si>
  <si>
    <t>Standard</t>
  </si>
  <si>
    <t>Targes lose half their range (rounded down) on all ranged attacks</t>
  </si>
  <si>
    <t>Foe</t>
  </si>
  <si>
    <t>Sorcerer</t>
  </si>
  <si>
    <t>Melee</t>
  </si>
  <si>
    <t>Ally Switch</t>
  </si>
  <si>
    <t>A basic attack. The user may choose either BATK (P) or BATK (M). Add the corresponding stat depending on their choice (BATK (P) = Physical Attack. BATK (M) = Magical Attack).This attack can be used even when sealed and its use cannot be prevented by any means, outside of Stun.</t>
  </si>
  <si>
    <r>
      <rPr>
        <rFont val="arial,sans,sans-serif"/>
        <strike/>
        <color rgb="FFFFFFFF"/>
        <sz val="12.0"/>
      </rPr>
      <t>Full action</t>
    </r>
    <r>
      <rPr>
        <rFont val="arial,sans,sans-serif"/>
        <color rgb="FFFFFFFF"/>
        <sz val="12.0"/>
      </rPr>
      <t xml:space="preserve"> -&gt; move action</t>
    </r>
  </si>
  <si>
    <t>Other Resources</t>
  </si>
  <si>
    <t>Full</t>
  </si>
  <si>
    <t>Self</t>
  </si>
  <si>
    <t>Taistelu</t>
  </si>
  <si>
    <t>no one uses this column</t>
  </si>
  <si>
    <r>
      <rPr>
        <rFont val="arial,sans,sans-serif"/>
        <color rgb="FFFFFFFF"/>
        <sz val="12.0"/>
      </rPr>
      <t xml:space="preserve">Damage: </t>
    </r>
    <r>
      <rPr>
        <rFont val="arial,sans,sans-serif"/>
        <strike/>
        <color rgb="FFFFFFFF"/>
        <sz val="12.0"/>
      </rPr>
      <t>3d8+20</t>
    </r>
    <r>
      <rPr>
        <rFont val="arial,sans,sans-serif"/>
        <color rgb="FFFFFFFF"/>
        <sz val="12.0"/>
      </rPr>
      <t xml:space="preserve"> -&gt; 3d8+10</t>
    </r>
  </si>
  <si>
    <t>The user moves up to 1.5x their MP (rounded down) instead of 1x.
(Dash is a Full action, which takes up both the Movement and Standard actions.)</t>
  </si>
  <si>
    <t>Movement</t>
  </si>
  <si>
    <t>Cryo Rework</t>
  </si>
  <si>
    <t>Earthbind</t>
  </si>
  <si>
    <t>This can only be used while a foe is in the user's Melee. The user moves one tile in a cardinal direction without triggering Attack of Opportunity.</t>
  </si>
  <si>
    <t>Attack of Opportunity</t>
  </si>
  <si>
    <t>Old effect removed. New effect: prevents the target from backstepping</t>
  </si>
  <si>
    <t>Reaction</t>
  </si>
  <si>
    <t>This may be used when a foe in the user's Melee either: leaves that Melee with their Movement action, or uses a ranged attack that doesn't target the user (after damage is rolled). This Reaction still adds ATK or MAG.</t>
  </si>
  <si>
    <t>Disarm</t>
  </si>
  <si>
    <r>
      <rPr>
        <rFont val="arial,sans,sans-serif"/>
        <strike/>
        <color rgb="FFFFFFFF"/>
        <sz val="12.0"/>
      </rPr>
      <t>1d6+10</t>
    </r>
    <r>
      <rPr>
        <rFont val="arial,sans,sans-serif"/>
        <color rgb="FFFFFFFF"/>
        <sz val="12.0"/>
      </rPr>
      <t xml:space="preserve"> -&gt; 1d8+10</t>
    </r>
  </si>
  <si>
    <r>
      <rPr>
        <rFont val="arial,sans,sans-serif"/>
        <color rgb="FFFFFFFF"/>
        <sz val="12.0"/>
      </rPr>
      <t xml:space="preserve">Damage: </t>
    </r>
    <r>
      <rPr>
        <rFont val="arial,sans,sans-serif"/>
        <strike/>
        <color rgb="FFFFFFFF"/>
        <sz val="12.0"/>
      </rPr>
      <t>1d6+5</t>
    </r>
    <r>
      <rPr>
        <rFont val="arial,sans,sans-serif"/>
        <color rgb="FFFFFFFF"/>
        <sz val="12.0"/>
      </rPr>
      <t xml:space="preserve"> -&gt; 2d6+5</t>
    </r>
  </si>
  <si>
    <t>God evening</t>
  </si>
  <si>
    <t>hi</t>
  </si>
  <si>
    <r>
      <rPr>
        <rFont val="arial,sans,sans-serif"/>
        <color rgb="FFFFFFFF"/>
        <sz val="12.0"/>
      </rPr>
      <t xml:space="preserve">Damage: </t>
    </r>
    <r>
      <rPr>
        <rFont val="arial,sans,sans-serif"/>
        <strike/>
        <color rgb="FFFFFFFF"/>
        <sz val="12.0"/>
      </rPr>
      <t>1d6+10</t>
    </r>
    <r>
      <rPr>
        <rFont val="arial,sans,sans-serif"/>
        <color rgb="FFFFFFFF"/>
        <sz val="12.0"/>
      </rPr>
      <t xml:space="preserve"> -&gt; 3d6+10</t>
    </r>
  </si>
  <si>
    <t>Solar Rod Rework (Salient)</t>
  </si>
  <si>
    <t>80 HP | 6 ATK | 6 MAG | 22 PD | 22 MD | 3 MP</t>
  </si>
  <si>
    <t>Clarified description of Confusion</t>
  </si>
  <si>
    <t>Reach</t>
  </si>
  <si>
    <t>"Support yourself and others with damage and accuracy bonuses."</t>
  </si>
  <si>
    <t>Range Range 3 -&gt; Melee</t>
  </si>
  <si>
    <t>New! Until the end of your next turn, your melee range is increased by one.</t>
  </si>
  <si>
    <t>Spar</t>
  </si>
  <si>
    <t>Until the end of your next turn, if your target attacks any other 
target, that attack does only half damage. When your attacks hit a 
target with this effect, this effect lasts an additional turn. You gain 
+1 accuracy and +5 damage when attacking this target.</t>
  </si>
  <si>
    <t>Passive</t>
  </si>
  <si>
    <t>Baked</t>
  </si>
  <si>
    <t>Solar Rod Rework (4mat)</t>
  </si>
  <si>
    <t>New: Until the end of your next turn, the target is affected by the "Challenged" status. Starting Spar on a target is a standard action however if a target is affected by your Challenge, then you may use Spar on them as a swift action.(When affected, the person who caused the status gains +1 accuracy and +5 damage when attacking the target and -2 evasion when being targetted by anyone besides the target. When the person affected by Challenged targets anyone besides the person who inflicted the status, the person being targetted gains +5 damage resistance from the person affected by Challenge. Challenge can only be given by a single source at a time.)</t>
  </si>
  <si>
    <t>AoE</t>
  </si>
  <si>
    <t>Self and Allies</t>
  </si>
  <si>
    <t>Burst 1</t>
  </si>
  <si>
    <r>
      <rPr>
        <rFont val="arial,sans,sans-serif"/>
        <color rgb="FFFFFFFF"/>
        <sz val="12.0"/>
      </rPr>
      <t xml:space="preserve">Miss rate </t>
    </r>
    <r>
      <rPr>
        <rFont val="arial,sans,sans-serif"/>
        <strike/>
        <color rgb="FFFFFFFF"/>
        <sz val="12.0"/>
      </rPr>
      <t>4</t>
    </r>
    <r>
      <rPr>
        <rFont val="arial,sans,sans-serif"/>
        <color rgb="FFFFFFFF"/>
        <sz val="12.0"/>
      </rPr>
      <t xml:space="preserve"> -&gt; 2</t>
    </r>
  </si>
  <si>
    <t>The user and allies in Melee range have +1 Accuracy and +1 Crit Range. Allies that have received Harmony or a buff from the user since the start of their previous turn gain a bonus +1 ACC. The user also gains +1 ACC while this bonus is active.
Rising Hope does not stack with more than one Bard.</t>
  </si>
  <si>
    <r>
      <rPr>
        <rFont val="arial,sans,sans-serif"/>
        <color rgb="FFFFFFFF"/>
        <sz val="12.0"/>
      </rPr>
      <t xml:space="preserve">Frequency: </t>
    </r>
    <r>
      <rPr>
        <rFont val="arial,sans,sans-serif"/>
        <strike/>
        <color rgb="FFFFFFFF"/>
        <sz val="12.0"/>
      </rPr>
      <t>EoT</t>
    </r>
    <r>
      <rPr>
        <rFont val="arial,sans,sans-serif"/>
        <color rgb="FFFFFFFF"/>
        <sz val="12.0"/>
      </rPr>
      <t xml:space="preserve"> -&gt; Swift</t>
    </r>
  </si>
  <si>
    <t>Harmony</t>
  </si>
  <si>
    <r>
      <rPr>
        <rFont val="arial,sans,sans-serif"/>
        <color rgb="FFFFFFFF"/>
        <sz val="12.0"/>
      </rPr>
      <t xml:space="preserve">Damage: </t>
    </r>
    <r>
      <rPr>
        <rFont val="arial,sans,sans-serif"/>
        <strike/>
        <color rgb="FFFFFFFF"/>
        <sz val="12.0"/>
      </rPr>
      <t>1d8+8</t>
    </r>
    <r>
      <rPr>
        <rFont val="arial,sans,sans-serif"/>
        <color rgb="FFFFFFFF"/>
        <sz val="12.0"/>
      </rPr>
      <t xml:space="preserve"> -&gt; 0</t>
    </r>
  </si>
  <si>
    <t>Twice/E2T</t>
  </si>
  <si>
    <t>Swift</t>
  </si>
  <si>
    <t>Self or Ally</t>
  </si>
  <si>
    <t>Range 3</t>
  </si>
  <si>
    <r>
      <rPr>
        <rFont val="Arial"/>
      </rPr>
      <t xml:space="preserve">For one round, the target cannot be affected by any status or debuff and has any such effect removed. If the target is affected by unremovable Poison, Burn or Bleed upon the usage or during the duration of this move, they gain </t>
    </r>
    <r>
      <rPr>
        <rFont val="Arial"/>
        <u/>
      </rPr>
      <t>+2 EVAs</t>
    </r>
    <r>
      <rPr>
        <rFont val="Arial"/>
      </rPr>
      <t xml:space="preserve">, </t>
    </r>
    <r>
      <rPr>
        <rFont val="Arial"/>
        <u/>
      </rPr>
      <t>+2 ACC</t>
    </r>
    <r>
      <rPr>
        <rFont val="Arial"/>
      </rPr>
      <t xml:space="preserve">, or </t>
    </r>
    <r>
      <rPr>
        <rFont val="Arial"/>
        <u/>
      </rPr>
      <t>+5 DMG</t>
    </r>
    <r>
      <rPr>
        <rFont val="Arial"/>
      </rPr>
      <t xml:space="preserve"> respectively for the duration of the status. This move does not interact with self-inflicted statuses or debuffs in any way.</t>
    </r>
  </si>
  <si>
    <t>Encore</t>
  </si>
  <si>
    <t>Charged Blow can be used as a standard action with 19+ critical hit rate. It can also be used as a set up action which does nothing that turn. The turn after Charged Blow was used as a set up action, the Bo Staff is required to use Charged Blow. Upon using Charged blow in this way, it increases your melee range by 1 until the end of your turn, Charged Blow can't miss and it automatically Critical hits.</t>
  </si>
  <si>
    <t>4mat</t>
  </si>
  <si>
    <t>Beans</t>
  </si>
  <si>
    <t>HP: 30,35,40,45,50</t>
  </si>
  <si>
    <t>Standard or Reaction</t>
  </si>
  <si>
    <t>Star Rod Rework (Saya amanogawa)</t>
  </si>
  <si>
    <t>HP: 35,45,55,65,65</t>
  </si>
  <si>
    <t>Roll 1d20 and store the result (max one stored roll). As a Reaction, before the user or an ally in Range 3 rolls an accuracy check of an attack, the stored roll is used instead.</t>
  </si>
  <si>
    <t>Primadonna</t>
  </si>
  <si>
    <t>Once</t>
  </si>
  <si>
    <t>Free</t>
  </si>
  <si>
    <t>1 or 2</t>
  </si>
  <si>
    <t>Self or Self and Ally</t>
  </si>
  <si>
    <t>Global</t>
  </si>
  <si>
    <r>
      <rPr>
        <rFont val="Arial"/>
      </rPr>
      <t xml:space="preserve">This is a previous version of Battle Dome. Version 4.4 can be found here: </t>
    </r>
    <r>
      <rPr>
        <rFont val="Arial"/>
        <color rgb="FF1155CC"/>
        <u/>
      </rPr>
      <t>https://docs.google.com/spreadsheets/d/1KP-a4mvTbhhul9mONBqrsuCRzc2UoqodNQMpdT_3Zzk</t>
    </r>
  </si>
  <si>
    <r>
      <t xml:space="preserve">Targets gain </t>
    </r>
    <r>
      <rPr>
        <rFont val="Arial"/>
        <u/>
      </rPr>
      <t>+5 ATK/MAG</t>
    </r>
    <r>
      <rPr>
        <rFont val="Arial"/>
      </rPr>
      <t xml:space="preserve"> and </t>
    </r>
    <r>
      <rPr>
        <rFont val="Arial"/>
        <i/>
      </rPr>
      <t>-5 DR</t>
    </r>
    <r>
      <rPr>
        <rFont val="Arial"/>
      </rPr>
      <t xml:space="preserve"> permanently. If either effect is cleansed, the other is removed. After one round, targets may choose to lose the buff as a Free action. This does not stack.</t>
    </r>
  </si>
  <si>
    <t>Attack/Magic: 1,2,3,4,5</t>
  </si>
  <si>
    <t>Attack/Magic: 1,3,4,5,6</t>
  </si>
  <si>
    <t>Star 5</t>
  </si>
  <si>
    <r>
      <rPr>
        <rFont val="Arial"/>
      </rPr>
      <t xml:space="preserve">All targets gain </t>
    </r>
    <r>
      <rPr>
        <rFont val="Arial"/>
        <u/>
      </rPr>
      <t>+7 DR and +1 EVA until the start of the user's next turn</t>
    </r>
    <r>
      <rPr>
        <rFont val="Arial"/>
      </rPr>
      <t xml:space="preserve">. If the user's Primadonna is active, they instead gain </t>
    </r>
    <r>
      <rPr>
        <rFont val="Arial"/>
        <u/>
      </rPr>
      <t>+1 ACC, +5 DMG, and +2 Crit Range</t>
    </r>
    <r>
      <rPr>
        <rFont val="Arial"/>
      </rPr>
      <t>. This ability may be used as a Standard action instead to have Global range, provide a 50% boost (rounded up) to the buff values, and increase their duration to one round.</t>
    </r>
  </si>
  <si>
    <t>Saya</t>
  </si>
  <si>
    <t>Cryokinetic</t>
  </si>
  <si>
    <r>
      <rPr>
        <rFont val="arial,sans,sans-serif"/>
        <strike/>
        <color rgb="FFFFFFFF"/>
        <sz val="12.0"/>
      </rPr>
      <t>Movement: 2</t>
    </r>
    <r>
      <rPr>
        <rFont val="arial,sans,sans-serif"/>
        <color rgb="FFFFFFFF"/>
        <sz val="12.0"/>
      </rPr>
      <t xml:space="preserve"> -&gt; 3</t>
    </r>
  </si>
  <si>
    <t>Are</t>
  </si>
  <si>
    <t>Cycle Beta</t>
  </si>
  <si>
    <t>New Monsters</t>
  </si>
  <si>
    <t>Devil's Dragon</t>
  </si>
  <si>
    <t>75 HP | 7 ATK | 7 MAG | 21 PD | 21 MD | 3 MP</t>
  </si>
  <si>
    <t>This new monster brings a new meaning to 1v1s! Now, for the first time ever, you can officially 1v1 a monster! However, there is a slight twist to the way the fight is played. This monster has 3 different phases, or forms. Once you defeat on of its forms, you will earn a certain amount of EXP, and you will be brought back to full HP, and the next form will spawn where the other one died. The match will only end once either the player has successfully defeated the final form, or the player has died. If the player defeats one form but dies to the second, they get 4EXP. If the player defeats both the second and first form but loses to the final form, they get 6EXP. If a player defeats all three forms, they get 10EXP. If a player defeats none of the formes, they receive no XP. The link for this monster can be found here: http://pastebin.com/raw/TPepp6Lb</t>
  </si>
  <si>
    <t>"Geared toward defense, with strong utility."</t>
  </si>
  <si>
    <t>Doppelgängers</t>
  </si>
  <si>
    <t>These new monsters allow players to try their hand at a survival style game! The thing is, you must survive while facing yourself! Well, your Doppelgänger, that is. Players who face these monsters are met with quite a tough challenge. You must survive 4 rounds while replicas of your team try to kill you, while you're being confined in a 10x10 map, no matter how many players there are! Oh, and don't think that you can just dash across the map to stall the time, because there's absolutely no dashing or back stepping allowed in this match! Are you up to the challenge to take on this survival challenge? Find the link to the monster here: http://pastebin.com/raw/XWjcvsUC</t>
  </si>
  <si>
    <t>God evening, Taistelu, Tapler, Oases</t>
  </si>
  <si>
    <t>Baked Beans</t>
  </si>
  <si>
    <t>Epic</t>
  </si>
  <si>
    <t>Version 4.4</t>
  </si>
  <si>
    <t>Upcoming things include Hammer rework, Rapier rework and new range/targetting mechanics!</t>
  </si>
  <si>
    <t>When targeted with a non- Free, Swift, or Global attack from a foe, the user gains an Ice Stack (max three) after the move is resolved. Only two Ice Stacks can be gained per round.
If the accuracy roll of an attack targeting the user rolls X+, that attack loses one die, where X = 15 - # of Ice Stacks.</t>
  </si>
  <si>
    <t>Mist</t>
  </si>
  <si>
    <t>Twice</t>
  </si>
  <si>
    <t>For one round, all attacks made by enemies from inside the user's Burst 2 deal -5 damage. The user may spend up to two Ice Stacks to extend this effect's duration by one for each stack used, or spend three stacks for a duration of two rounds and a range of Burst 3. This move cannot be used again while its effect is active.</t>
  </si>
  <si>
    <t>BD Staff</t>
  </si>
  <si>
    <t>Frost Barrier</t>
  </si>
  <si>
    <t>2d8+X</t>
  </si>
  <si>
    <t>The user gains a Shield/1 equal to 2d8+X, where X is thrice the amount of Ice Stacks the user chooses to spend, minimum one stack.</t>
  </si>
  <si>
    <t>Ice Wall</t>
  </si>
  <si>
    <t>Movement or Free</t>
  </si>
  <si>
    <t>Range 5</t>
  </si>
  <si>
    <t>The user creates a 3-tile wall of Ice in a cardinal direction, or a diagonal one with halved length (rounded up). This Ice has 15 HP. Foes who end their turn with at least one of these Ice tiles in their melee take 10 damage. The user may spend Ice Stacks to increase the wall's base length by one for each stack spent. The wall expires after 3 rounds. The user may shatter the wall as a Trigger action after one turn, destroying it and inflicting 3 Bleed/2 on foes within melee of it. This move ignores Range Rule.</t>
  </si>
  <si>
    <t>Flash Freeze</t>
  </si>
  <si>
    <r>
      <rPr>
        <b/>
        <color rgb="FF4A86E8"/>
        <sz val="6.0"/>
        <u/>
      </rPr>
      <t>Changes are cool, but c</t>
    </r>
    <r>
      <rPr>
        <b/>
        <color rgb="FF4A86E8"/>
        <sz val="6.0"/>
        <u/>
      </rPr>
      <t>urious as to what old Battle Dome looked like? Check out the previous version of Battle Dome - 4.2 - here!</t>
    </r>
  </si>
  <si>
    <t>This player may use this when targeted by an attack after damage has been rolled, and must spend one Ice Stack to do so. The interrupted attack loses all of its additive dice (excluding Critical Hit). The user may spend an additional Ice Stack to also remove the attack's additive positive damage modifiers, or two additional Ice Stacks to remove all positive damage factors. This ability cannot remove advantage damage dice.</t>
  </si>
  <si>
    <t>85 HP | 5 ATK | 5 MAG | 30 PD | 30 MD | 3 MP</t>
  </si>
  <si>
    <t>"Protect yourself and allies."</t>
  </si>
  <si>
    <t>"If you know the enemy, and know yourself, you need not fear the result of a hundred battles. If you know yourself but not the enemy, for every victory gained you will suffer a defeat. If you know neither enemy nor yourself, you will succumb in every battle." -Sun Tzu, Art of War</t>
  </si>
  <si>
    <t>Strike Guard</t>
  </si>
  <si>
    <t>semeoz is a noob lol</t>
  </si>
  <si>
    <t>If the opponent rolls 14+ on their accuracy on an attack that is targetting the user or an ally in their Melee, the attack deals -5 damage.</t>
  </si>
  <si>
    <t>Vanguard</t>
  </si>
  <si>
    <t>Twice/EoT</t>
  </si>
  <si>
    <t>Ally</t>
  </si>
  <si>
    <t>Homing 4</t>
  </si>
  <si>
    <t xml:space="preserve"> </t>
  </si>
  <si>
    <t>This move may be used when an ally in range is targeted by an attack, after damage is rolled. The user moves to a tile in the ally's melee, and the ally takes 5 less damage from the attack. If the user is also a target of the attack, both the user and the Ally take 10 less damage instead. This effect does not stack with multiple Guardians.</t>
  </si>
  <si>
    <t>Fortify</t>
  </si>
  <si>
    <t xml:space="preserve">The target gains X Shield/1, where X is 35% of the amount of damage the user has taken directly from attacks since the beginning of their last turn (max 30 Shield). </t>
  </si>
  <si>
    <t>Tenacity</t>
  </si>
  <si>
    <t>Thrice</t>
  </si>
  <si>
    <t>Trigger</t>
  </si>
  <si>
    <t>If the target was alive and was not attacked last round, they heal 15% of their missing HP. This can only be used once per turn.</t>
  </si>
  <si>
    <r>
      <rPr>
        <rFont val="Arial"/>
      </rPr>
      <t xml:space="preserve">The user </t>
    </r>
    <r>
      <rPr>
        <rFont val="Arial"/>
        <u/>
      </rPr>
      <t>takes 80% damage from attacks for two rounds</t>
    </r>
    <r>
      <rPr>
        <rFont val="Arial"/>
      </rPr>
      <t>. Additionally, for one round, whenever an ally is targeted by an attack from within the user’s Burst 2, the user may use a Reaction to redirect 30% of the damage the ally would take to themselves. (Redirected damage cannot be reduced by any means, nor can it stack with multiple users.)</t>
    </r>
  </si>
  <si>
    <t>65 HP | 11 ATK | 11 MAG | 16 PD | 16 MD | 3 MP</t>
  </si>
  <si>
    <t>"Geared towards offense at a slower pace."</t>
  </si>
  <si>
    <t>Invoke: Fire</t>
  </si>
  <si>
    <t>When targetting a foe with a non- Free, Swift, or Global attack, the user gains a Fire Stack (max three) after the move is resolved. After gaining a Fire Stack, the user cannot gain another one until the start of their next turn.
If the accuracy roll of an attack by the user rolls X+, that attack gains one die, where X = 15 - # of Fire Stacks the user has.</t>
  </si>
  <si>
    <t>EoT</t>
  </si>
  <si>
    <t>The user spends 1 to 3 Fire Stacks to use this move. Their next attack gains 3X Burn/1, where X is the number of Stacks spent.</t>
  </si>
  <si>
    <t>1d4+2</t>
  </si>
  <si>
    <t xml:space="preserve">Magical </t>
  </si>
  <si>
    <t>Foes</t>
  </si>
  <si>
    <t xml:space="preserve"> The user does the following things in any order: deals damage equal to the rolled amount to up to two foes in melee range, moves up to their full MP range. This move is immune to outside damage factors. Do not add MAG.</t>
  </si>
  <si>
    <t>Afterburn</t>
  </si>
  <si>
    <r>
      <t xml:space="preserve">The user gains </t>
    </r>
    <r>
      <rPr>
        <rFont val="Arial"/>
        <u/>
      </rPr>
      <t>+accuracy equal to X+1 for one turn,</t>
    </r>
    <r>
      <rPr>
        <rFont val="Arial"/>
      </rPr>
      <t xml:space="preserve"> where X is the amount of Fire Stacks the user chooses to spend, minimum one stack.</t>
    </r>
  </si>
  <si>
    <t>Kinetic Energy</t>
  </si>
  <si>
    <r>
      <rPr>
        <rFont val="Arial"/>
      </rPr>
      <t xml:space="preserve">The user spends two Fire Stacks to gain </t>
    </r>
    <r>
      <rPr>
        <rFont val="Arial"/>
        <u/>
      </rPr>
      <t>+10 damage</t>
    </r>
    <r>
      <rPr>
        <rFont val="Arial"/>
      </rPr>
      <t xml:space="preserve"> on their next attack, or three Fire Stacks to gain </t>
    </r>
    <r>
      <rPr>
        <rFont val="Arial"/>
        <u/>
      </rPr>
      <t>+2 dice</t>
    </r>
    <r>
      <rPr>
        <rFont val="Arial"/>
      </rPr>
      <t xml:space="preserve"> and </t>
    </r>
    <r>
      <rPr>
        <rFont val="Arial"/>
        <u/>
      </rPr>
      <t>+15 damage</t>
    </r>
    <r>
      <rPr>
        <rFont val="Arial"/>
      </rPr>
      <t xml:space="preserve"> to their next attack.</t>
    </r>
  </si>
  <si>
    <t>60 HP | 9 ATK | 9 MAG | 19 PD | 19 MD | 3 MP</t>
  </si>
  <si>
    <t>"Deal lots of damage in short bursts."</t>
  </si>
  <si>
    <t>Time Matrix</t>
  </si>
  <si>
    <t>Archer Abilities</t>
  </si>
  <si>
    <t>If the user or an ally in Burst 1 rolls 14+ for their accuracy on an attack, the attack deals +5 damage.</t>
  </si>
  <si>
    <t>Rewind</t>
  </si>
  <si>
    <t>Range 4</t>
  </si>
  <si>
    <t>This move can be used after the target rolls damage for an attack. The target may reroll up to 3 damage dice, but the user takes 3% of the attack's damage per die rerolled as recoil. Rerolled dice cannot trigger bombs or inverse bombs.</t>
  </si>
  <si>
    <t>Interval</t>
  </si>
  <si>
    <r>
      <rPr>
        <rFont val="Arial"/>
        <b/>
        <sz val="10.0"/>
      </rPr>
      <t xml:space="preserve">65 HP | 11 ATK | </t>
    </r>
    <r>
      <rPr>
        <rFont val="Arial"/>
        <b/>
        <i/>
        <sz val="10.0"/>
      </rPr>
      <t>7 MAG</t>
    </r>
    <r>
      <rPr>
        <rFont val="Arial"/>
        <b/>
        <sz val="10.0"/>
      </rPr>
      <t xml:space="preserve"> | 13 PD | 14 MD | 1 MP</t>
    </r>
  </si>
  <si>
    <t>The target's EoT abilities that are on cooldown are reset, if the target's next ability is EoT it does not go on cooldown. (Affected Triggers are limited to one use per turn, unless specified otherwise.)</t>
  </si>
  <si>
    <t>Paradox</t>
  </si>
  <si>
    <t>"A weapon that has increased damage and effects the more you target an opponent."</t>
  </si>
  <si>
    <t>Hunter's Mark</t>
  </si>
  <si>
    <t>This turn, the user may use a Once/Twice/Thrice move without expending a use, even if the move is out of uses. The user cannot use Paradox on Reaction or Trigger actions. The user takes 20% of the damage from the Paradox move as recoil.</t>
  </si>
  <si>
    <t>Time Dilation</t>
  </si>
  <si>
    <r>
      <rPr>
        <rFont val="Arial"/>
        <color rgb="FF000000"/>
      </rPr>
      <t xml:space="preserve">This may be used when the user is attacked, after damage is rolled. After the user takes damage, their next attack deals </t>
    </r>
    <r>
      <rPr>
        <rFont val="Arial"/>
        <color rgb="FF000000"/>
        <u/>
      </rPr>
      <t>+Damage equal to one third of the damage the user took from the attack</t>
    </r>
    <r>
      <rPr>
        <rFont val="Arial"/>
        <color rgb="FF000000"/>
      </rPr>
      <t>.</t>
    </r>
  </si>
  <si>
    <t>When the user's Crossbow attack resolves, targets of the attack gain 1 Mark each. The user's attacks deal +5% damage per Mark on one target (does not stack with multiple targets). Marks only apply to their user's attacks.</t>
  </si>
  <si>
    <t>Arrow Flurry</t>
  </si>
  <si>
    <t>2d8+7</t>
  </si>
  <si>
    <t>65 HP | 8 ATK | 8 MAG | 20 PD | 20 MD | 4 MP</t>
  </si>
  <si>
    <t>Physical</t>
  </si>
  <si>
    <t>"Strong movement capabilities."</t>
  </si>
  <si>
    <t>Range 6</t>
  </si>
  <si>
    <t>If the original target has a Mark, this move gains Splash 1. If the target has 2+ Marks, this move instead gains Splash 2.</t>
  </si>
  <si>
    <t>Arrow Net</t>
  </si>
  <si>
    <t>E2T</t>
  </si>
  <si>
    <t>3d8+4</t>
  </si>
  <si>
    <t>If the target has a Mark, they are inflicted with Slow/1. If the target has 2+ Marks, the user may inflict the target with 6 Cripple/1 instead.</t>
  </si>
  <si>
    <t>Celestial Abilities</t>
  </si>
  <si>
    <t>Shadow Quiver</t>
  </si>
  <si>
    <t>When dashing, the player may move up to 2x their MP instead of 1.5. If they do, the dash caps at 12 MP. Additionally, the player's dash ignores the effects of Slow.</t>
  </si>
  <si>
    <t>The user's next attack becomes Magical and ignores all obstructions in its path (including Air tiles and Personal Bubble).</t>
  </si>
  <si>
    <t>Scoping Shot</t>
  </si>
  <si>
    <t>2d10+6</t>
  </si>
  <si>
    <t>This turn, the user loses half of their MP (rounded up), but may use their Movement action after Standard actions. This Movement is unaffected by AoO and Slow.</t>
  </si>
  <si>
    <t>Stealth</t>
  </si>
  <si>
    <t>Line 4</t>
  </si>
  <si>
    <t>For one round, all attacks on the target gain +1 ACC for every mark the target has.</t>
  </si>
  <si>
    <t>Quick Scope</t>
  </si>
  <si>
    <t>Lunar Rod</t>
  </si>
  <si>
    <t>1d8+2</t>
  </si>
  <si>
    <t>Clairvoyant Abilities</t>
  </si>
  <si>
    <t>This attack is immune to outside damage factors. Do not add ATK/MAG.</t>
  </si>
  <si>
    <r>
      <rPr>
        <rFont val="Arial"/>
      </rPr>
      <t>This turn, the user’s Backstep becomes a Free action. While under this effect,</t>
    </r>
    <r>
      <rPr>
        <rFont val="Arial"/>
        <i/>
      </rPr>
      <t xml:space="preserve"> </t>
    </r>
    <r>
      <rPr>
        <rFont val="Arial"/>
      </rPr>
      <t xml:space="preserve">the user has </t>
    </r>
    <r>
      <rPr>
        <rFont val="Arial"/>
        <i/>
      </rPr>
      <t>-2 MP.</t>
    </r>
  </si>
  <si>
    <t>2d8+6</t>
  </si>
  <si>
    <r>
      <rPr>
        <rFont val="Arial"/>
        <b/>
        <sz val="10.0"/>
      </rPr>
      <t xml:space="preserve">70 HP | </t>
    </r>
    <r>
      <rPr>
        <rFont val="Arial"/>
        <b val="0"/>
        <i/>
        <sz val="10.0"/>
      </rPr>
      <t>1 ATK</t>
    </r>
    <r>
      <rPr>
        <rFont val="Arial"/>
        <b/>
        <sz val="10.0"/>
      </rPr>
      <t xml:space="preserve"> | 13 MAG | 6 PD | 10 MD | 2 MP</t>
    </r>
  </si>
  <si>
    <t>The target gains a "bomb". The user may choose to detonate this bomb as a trigger action on their turn, dealing 1d8+2X Bomb damage to all foes within Burst 2 of the target, where X is the amount of Marks the target has. The bomb automatically detonates when the user or target dies, or after two rounds.</t>
  </si>
  <si>
    <t>Tornado Bolt</t>
  </si>
  <si>
    <t>"Shift phases every round for a variety of effects."</t>
  </si>
  <si>
    <r>
      <rPr>
        <rFont val="Arial"/>
      </rPr>
      <t xml:space="preserve">The user may </t>
    </r>
    <r>
      <rPr>
        <rFont val="Arial"/>
        <i/>
      </rPr>
      <t>sacrifice up to 4 unused MP</t>
    </r>
    <r>
      <rPr>
        <rFont val="Arial"/>
      </rPr>
      <t xml:space="preserve"> to gain </t>
    </r>
    <r>
      <rPr>
        <rFont val="Arial"/>
        <u/>
      </rPr>
      <t>+1 accuracy for every 2 MP sacrificed</t>
    </r>
    <r>
      <rPr>
        <rFont val="Arial"/>
      </rPr>
      <t xml:space="preserve"> for one turn.</t>
    </r>
  </si>
  <si>
    <t>Tunneling</t>
  </si>
  <si>
    <t>Line 6
(Push X)</t>
  </si>
  <si>
    <t>This move has Push X, where X is the amount of Marks the target has. If the target is unable to be pushed the full distance, the target gains another Mark.</t>
  </si>
  <si>
    <t>2d10+8</t>
  </si>
  <si>
    <t>Lunar Phase</t>
  </si>
  <si>
    <t>Pierce 6</t>
  </si>
  <si>
    <t>If a target has 1+ Marks, this move ignores evasions. If a target has 2+ marks, this move also ignores negative accuracy modifiers.</t>
  </si>
  <si>
    <t>Serrated Arrows</t>
  </si>
  <si>
    <t>This turn, the user may move through all tiles and Enemy Players/Monsters as if they were regular terrain, but they may not perform/end any action on tiles that they normally can't move through (Stop, Ice, Broken, or Bone).</t>
  </si>
  <si>
    <t>Time's Edge</t>
  </si>
  <si>
    <t>4d8+1</t>
  </si>
  <si>
    <r>
      <rPr>
        <rFont val="Arial"/>
        <b/>
        <sz val="10.0"/>
      </rPr>
      <t xml:space="preserve">60 HP | </t>
    </r>
    <r>
      <rPr>
        <rFont val="Arial"/>
        <b val="0"/>
        <i/>
        <sz val="10.0"/>
      </rPr>
      <t>7 ATK</t>
    </r>
    <r>
      <rPr>
        <rFont val="Arial"/>
        <b/>
        <sz val="10.0"/>
      </rPr>
      <t xml:space="preserve"> | 13 MAG | 5 PD | 16 MD | 1 MP</t>
    </r>
  </si>
  <si>
    <t>This move inflicts 5 Bleed/X, where X is the amount of Marks the target has.</t>
  </si>
  <si>
    <t>Ballista</t>
  </si>
  <si>
    <t>3d8+5X</t>
  </si>
  <si>
    <t>"Delay your attacks to the future for enhanced effects."</t>
  </si>
  <si>
    <t>Line 6</t>
  </si>
  <si>
    <t>This may only be used on a target with 2+ Marks. The X in this attack is the amount of Marks the target has.</t>
  </si>
  <si>
    <t>Future Sight</t>
  </si>
  <si>
    <t>This turn, the user uses an additional Standard action. The next two Standard/Full actions this turn only add 25% ATK/MAG. If the first Standard/Full deals damage, the second Standard ignores outside damage factors and does not add ATK/MAG. The user can only use Reactions and Triggers between these actions, unless specified otherwise.</t>
  </si>
  <si>
    <r>
      <t xml:space="preserve">At the start of a game, the user picks a Phase. At the start of each turn, the user shifts between Phases in the following order: </t>
    </r>
    <r>
      <rPr>
        <rFont val="Arial"/>
        <b/>
        <color rgb="FF000000"/>
      </rPr>
      <t>New</t>
    </r>
    <r>
      <rPr>
        <rFont val="Arial"/>
        <color rgb="FF000000"/>
      </rPr>
      <t xml:space="preserve"> </t>
    </r>
    <r>
      <rPr>
        <rFont val="Arial"/>
        <b/>
        <color rgb="FF000000"/>
      </rPr>
      <t>Moon</t>
    </r>
    <r>
      <rPr>
        <rFont val="Arial"/>
        <color rgb="FF000000"/>
      </rPr>
      <t xml:space="preserve"> (+1 PE/ME) -&gt; </t>
    </r>
    <r>
      <rPr>
        <rFont val="Arial"/>
        <b/>
        <color rgb="FF000000"/>
      </rPr>
      <t>Waxing</t>
    </r>
    <r>
      <rPr>
        <rFont val="Arial"/>
        <color rgb="FF000000"/>
      </rPr>
      <t xml:space="preserve"> (+1 Range) -&gt; </t>
    </r>
    <r>
      <rPr>
        <rFont val="Arial"/>
        <b/>
        <color rgb="FF000000"/>
      </rPr>
      <t>Full</t>
    </r>
    <r>
      <rPr>
        <rFont val="Arial"/>
        <color rgb="FF000000"/>
      </rPr>
      <t xml:space="preserve"> </t>
    </r>
    <r>
      <rPr>
        <rFont val="Arial"/>
        <b/>
        <color rgb="FF000000"/>
      </rPr>
      <t>Moon</t>
    </r>
    <r>
      <rPr>
        <rFont val="Arial"/>
        <color rgb="FF000000"/>
      </rPr>
      <t xml:space="preserve"> (Foes get -1 dice on attacks targeting the user) -&gt; </t>
    </r>
    <r>
      <rPr>
        <rFont val="Arial"/>
        <b/>
        <color rgb="FF000000"/>
      </rPr>
      <t>Waning</t>
    </r>
    <r>
      <rPr>
        <rFont val="Arial"/>
        <color rgb="FF000000"/>
      </rPr>
      <t xml:space="preserve"> (+1 Dice) -&gt; New, etc. This passive cannot be disabled.</t>
    </r>
  </si>
  <si>
    <t>Moonblast</t>
  </si>
  <si>
    <r>
      <rPr>
        <rFont val="Arial"/>
        <b/>
        <sz val="10.0"/>
      </rPr>
      <t xml:space="preserve">65 HP | 12 ATK | </t>
    </r>
    <r>
      <rPr>
        <rFont val="Arial"/>
        <b val="0"/>
        <i/>
        <sz val="10.0"/>
      </rPr>
      <t>2 MAG</t>
    </r>
    <r>
      <rPr>
        <rFont val="Arial"/>
        <b/>
        <sz val="10.0"/>
      </rPr>
      <t xml:space="preserve"> | 6 PD | 6 MD | 1 MP</t>
    </r>
  </si>
  <si>
    <t>"A high range weapon that excels in beating defence and other 'bullshit'."</t>
  </si>
  <si>
    <t>Magical</t>
  </si>
  <si>
    <t>Skill Shot</t>
  </si>
  <si>
    <t>The user's next phase effect is doubled.</t>
  </si>
  <si>
    <t>Lunar Shift</t>
  </si>
  <si>
    <t>Range 8</t>
  </si>
  <si>
    <t xml:space="preserve">This move can be used regardless of the user’s statuses (except stun) or foes’ move effects, and it cannot be prevented from doing damage. </t>
  </si>
  <si>
    <t>Chase Arrow</t>
  </si>
  <si>
    <t>The user immediately moves to their next Lunar Phase. If Moonblast's effect is active it's transferred to the new phase.</t>
  </si>
  <si>
    <t>Holy Light</t>
  </si>
  <si>
    <t>1d8+10</t>
  </si>
  <si>
    <t>Range 7</t>
  </si>
  <si>
    <t>Homing 6</t>
  </si>
  <si>
    <r>
      <t xml:space="preserve">If the user is in </t>
    </r>
    <r>
      <rPr>
        <rFont val="Arial"/>
        <b/>
        <color rgb="FF000000"/>
      </rPr>
      <t>Waxing</t>
    </r>
    <r>
      <rPr>
        <rFont val="Arial"/>
        <color rgb="FF000000"/>
      </rPr>
      <t xml:space="preserve">, they gain </t>
    </r>
    <r>
      <rPr>
        <rFont val="Arial"/>
        <color rgb="FF000000"/>
        <u/>
      </rPr>
      <t>+1 MP</t>
    </r>
    <r>
      <rPr>
        <rFont val="Arial"/>
        <color rgb="FF000000"/>
      </rPr>
      <t xml:space="preserve"> until the end of their next turn.</t>
    </r>
  </si>
  <si>
    <t>This attack is immune to outside damage factors.</t>
  </si>
  <si>
    <t>Dark Reflection</t>
  </si>
  <si>
    <t>2d8+9</t>
  </si>
  <si>
    <r>
      <rPr>
        <rFont val="Arial"/>
        <color rgb="FFEFEFEF"/>
      </rPr>
      <t xml:space="preserve">The user's </t>
    </r>
    <r>
      <rPr>
        <rFont val="Arial"/>
        <b/>
        <color rgb="FFEFEFEF"/>
      </rPr>
      <t>Delay</t>
    </r>
    <r>
      <rPr>
        <rFont val="Arial"/>
        <color rgb="FFEFEFEF"/>
      </rPr>
      <t xml:space="preserve"> attacks always land if they hit, even if the user is dead.
</t>
    </r>
    <r>
      <rPr>
        <rFont val="Arial"/>
        <b/>
        <color rgb="FFEFEFEF"/>
      </rPr>
      <t>Delay</t>
    </r>
    <r>
      <rPr>
        <rFont val="Arial"/>
        <color rgb="FFEFEFEF"/>
      </rPr>
      <t>: Delay moves have their damage and effects delayed for a specified number of rounds, landing at the start of the user's turn. Damage is rolled when the move is used, with damage altering effects applied on use</t>
    </r>
  </si>
  <si>
    <t>This attack ignores Evasions and outside accuracy factors. If the target's Evasions are increased or this attack is affected by accuracy factors by an effect from a foe, the target is inflicted with Bleed 5/1.</t>
  </si>
  <si>
    <r>
      <rPr>
        <rFont val="Arial"/>
        <i/>
        <color rgb="FF000000"/>
      </rPr>
      <t>Applies the inverse of the user's current phase effect to the target</t>
    </r>
    <r>
      <rPr>
        <rFont val="Arial"/>
        <color rgb="FF000000"/>
      </rPr>
      <t xml:space="preserve"> for one round.</t>
    </r>
  </si>
  <si>
    <t>Long Shot</t>
  </si>
  <si>
    <t>Harvest Moon</t>
  </si>
  <si>
    <t>Augur</t>
  </si>
  <si>
    <t>3d6+7</t>
  </si>
  <si>
    <t>This attack's range cannot be reduced. If the target has targeted the user from outside Range 6 before, they are inflicted with Seal/1.</t>
  </si>
  <si>
    <t>Bow Slam</t>
  </si>
  <si>
    <r>
      <t xml:space="preserve">When used while in </t>
    </r>
    <r>
      <rPr>
        <rFont val="Arial"/>
        <b/>
        <color rgb="FF000000"/>
      </rPr>
      <t>New</t>
    </r>
    <r>
      <rPr>
        <rFont val="Arial"/>
        <color rgb="FF000000"/>
      </rPr>
      <t xml:space="preserve"> </t>
    </r>
    <r>
      <rPr>
        <rFont val="Arial"/>
        <b/>
        <color rgb="FF000000"/>
      </rPr>
      <t>Moon</t>
    </r>
    <r>
      <rPr>
        <rFont val="Arial"/>
        <color rgb="FF000000"/>
      </rPr>
      <t xml:space="preserve"> or </t>
    </r>
    <r>
      <rPr>
        <rFont val="Arial"/>
        <b/>
        <color rgb="FF000000"/>
      </rPr>
      <t>Full</t>
    </r>
    <r>
      <rPr>
        <rFont val="Arial"/>
        <color rgb="FF000000"/>
      </rPr>
      <t xml:space="preserve"> </t>
    </r>
    <r>
      <rPr>
        <rFont val="Arial"/>
        <b/>
        <color rgb="FF000000"/>
      </rPr>
      <t>Moon</t>
    </r>
    <r>
      <rPr>
        <rFont val="Arial"/>
        <color rgb="FF000000"/>
      </rPr>
      <t xml:space="preserve"> Phase, heal the user by 10% of the damage done.</t>
    </r>
  </si>
  <si>
    <t>4d8+2</t>
  </si>
  <si>
    <t>Tidal Wave</t>
  </si>
  <si>
    <t>Cone 1
(Push 3)</t>
  </si>
  <si>
    <t>3d8+7</t>
  </si>
  <si>
    <t>Targets are pushed in the direction of the Cone. For two rounds, the user cannot be moved by foes and is immune to effects dependent on Push/Pull.</t>
  </si>
  <si>
    <t>Ricochet</t>
  </si>
  <si>
    <r>
      <rPr>
        <rFont val="Arial"/>
        <color rgb="FF000000"/>
      </rPr>
      <t xml:space="preserve">Targets hit are moved one tile towards the user. This move is affected by the +Range from </t>
    </r>
    <r>
      <rPr>
        <rFont val="Arial"/>
        <b/>
        <color rgb="FF000000"/>
      </rPr>
      <t>Waxing</t>
    </r>
    <r>
      <rPr>
        <rFont val="Arial"/>
        <color rgb="FF000000"/>
      </rPr>
      <t xml:space="preserve"> Phase.</t>
    </r>
  </si>
  <si>
    <t>Tidal Locking</t>
  </si>
  <si>
    <t>3d8+1</t>
  </si>
  <si>
    <t>If the target dealt a total of 55+ damage to the user since the beginning of the user's last turn, this attack gains +2 dice.</t>
  </si>
  <si>
    <t>2d10+7</t>
  </si>
  <si>
    <t>Tranquil Technique</t>
  </si>
  <si>
    <t>1d8+14</t>
  </si>
  <si>
    <t>The user doesn't change phases at the start of their next turn. This move may be used as a non-damaging standard.</t>
  </si>
  <si>
    <t>Blood Moon</t>
  </si>
  <si>
    <r>
      <rPr>
        <rFont val="Arial"/>
        <color rgb="FFEFEFEF"/>
      </rPr>
      <t xml:space="preserve">If the target used a Reaction move since the beginning of the user's last turn, the user gains +2 accuracy on this and </t>
    </r>
    <r>
      <rPr>
        <rFont val="Arial"/>
        <color rgb="FFEFEFEF"/>
        <u/>
      </rPr>
      <t>their next attack</t>
    </r>
    <r>
      <rPr>
        <rFont val="Arial"/>
        <color rgb="FFEFEFEF"/>
      </rPr>
      <t>.</t>
    </r>
  </si>
  <si>
    <t>Squall Volley</t>
  </si>
  <si>
    <t>1d10+6</t>
  </si>
  <si>
    <t>Homing 5</t>
  </si>
  <si>
    <r>
      <t xml:space="preserve">If the user is in </t>
    </r>
    <r>
      <rPr>
        <rFont val="Arial"/>
        <b/>
        <color rgb="FF000000"/>
      </rPr>
      <t>Waxing</t>
    </r>
    <r>
      <rPr>
        <rFont val="Arial"/>
        <color rgb="FF000000"/>
      </rPr>
      <t xml:space="preserve"> or </t>
    </r>
    <r>
      <rPr>
        <rFont val="Arial"/>
        <b/>
        <color rgb="FF000000"/>
      </rPr>
      <t>Waning</t>
    </r>
    <r>
      <rPr>
        <rFont val="Arial"/>
        <color rgb="FF000000"/>
      </rPr>
      <t>, this move inflicts 5/1 Poison, otherwise it inflicts 5/1 Bleed.</t>
    </r>
  </si>
  <si>
    <t>Range 6
(Double Hit)</t>
  </si>
  <si>
    <t>Celestial Blessing</t>
  </si>
  <si>
    <t>If the user is debuffed from effects originating from foes, this attack ignores those debuffs that the user has and hits thrice instead.</t>
  </si>
  <si>
    <t>Arrow Rain</t>
  </si>
  <si>
    <t>Before accuracy, the user may choose to give this move Delay-1 for an additional 5 damage or +3 Critical Range on this move, or Delay-2 for both.</t>
  </si>
  <si>
    <t>Echo Burst</t>
  </si>
  <si>
    <t>3d10+5</t>
  </si>
  <si>
    <t>Range 6
(Splash 1)</t>
  </si>
  <si>
    <t>Foes hit are inflicted with any status effects the user has. The user may choose to target an empty space instead of a player for -3 accuracy on this attack.</t>
  </si>
  <si>
    <t>All targets in range gain the effect of the user's next phase until the start of the user's next turn. Next turn, the user's phase has no effect, and phase-specific move effects cannot trigger. This is not affected by Moonblast.</t>
  </si>
  <si>
    <t>Shatter Shot</t>
  </si>
  <si>
    <t>Gravity Crash</t>
  </si>
  <si>
    <t>3d10+8</t>
  </si>
  <si>
    <t>2d10+9</t>
  </si>
  <si>
    <t>This attack inverts numerical negative outside factors to damage and dice that do not originate from the user.</t>
  </si>
  <si>
    <r>
      <t xml:space="preserve">This move has a different effect based on the phase it's used in:
</t>
    </r>
    <r>
      <rPr>
        <rFont val="Arial"/>
        <b/>
        <color rgb="FF000000"/>
      </rPr>
      <t>New</t>
    </r>
    <r>
      <rPr>
        <rFont val="Arial"/>
        <color rgb="FF000000"/>
      </rPr>
      <t xml:space="preserve"> </t>
    </r>
    <r>
      <rPr>
        <rFont val="Arial"/>
        <b/>
        <color rgb="FF000000"/>
      </rPr>
      <t>Moon</t>
    </r>
    <r>
      <rPr>
        <rFont val="Arial"/>
        <color rgb="FF000000"/>
      </rPr>
      <t xml:space="preserve">: The target is Sealed/1
</t>
    </r>
    <r>
      <rPr>
        <rFont val="Arial"/>
        <b/>
        <color rgb="FF000000"/>
      </rPr>
      <t>Waxing</t>
    </r>
    <r>
      <rPr>
        <rFont val="Arial"/>
        <color rgb="FF000000"/>
      </rPr>
      <t xml:space="preserve"> (Push 2): If the target can't be pushed fully, they take 15 extra damage.
</t>
    </r>
    <r>
      <rPr>
        <rFont val="Arial"/>
        <b/>
        <color rgb="FF000000"/>
      </rPr>
      <t>Full</t>
    </r>
    <r>
      <rPr>
        <rFont val="Arial"/>
        <color rgb="FF000000"/>
      </rPr>
      <t xml:space="preserve"> </t>
    </r>
    <r>
      <rPr>
        <rFont val="Arial"/>
        <b/>
        <color rgb="FF000000"/>
      </rPr>
      <t>Moon</t>
    </r>
    <r>
      <rPr>
        <rFont val="Arial"/>
        <color rgb="FF000000"/>
      </rPr>
      <t xml:space="preserve">: All the target's AoE moves are single target for one round.
</t>
    </r>
    <r>
      <rPr>
        <rFont val="Arial"/>
        <b/>
        <color rgb="FF000000"/>
      </rPr>
      <t>Waning</t>
    </r>
    <r>
      <rPr>
        <rFont val="Arial"/>
        <color rgb="FF000000"/>
      </rPr>
      <t>: This attack has bomb dice.</t>
    </r>
  </si>
  <si>
    <t>Homing 5
(Splash 1)</t>
  </si>
  <si>
    <t>Solar Rod</t>
  </si>
  <si>
    <r>
      <rPr>
        <rFont val="Arial"/>
        <color rgb="FFEFEFEF"/>
      </rPr>
      <t xml:space="preserve">Before accuracy, the user may choose to give this move Delay-1. If they do, it loses Splash, but the user gains </t>
    </r>
    <r>
      <rPr>
        <rFont val="Arial"/>
        <color rgb="FFEFEFEF"/>
        <u/>
      </rPr>
      <t>+5 DR</t>
    </r>
    <r>
      <rPr>
        <rFont val="Arial"/>
        <color rgb="FFEFEFEF"/>
      </rPr>
      <t xml:space="preserve"> until the move deals damage.</t>
    </r>
  </si>
  <si>
    <t>Scry</t>
  </si>
  <si>
    <r>
      <rPr>
        <rFont val="Arial"/>
        <b/>
        <sz val="10.0"/>
      </rPr>
      <t xml:space="preserve">60 HP | 10 ATK | </t>
    </r>
    <r>
      <rPr>
        <rFont val="Arial"/>
        <b/>
        <i/>
        <sz val="10.0"/>
      </rPr>
      <t>5 MAG</t>
    </r>
    <r>
      <rPr>
        <rFont val="Arial"/>
        <b/>
        <sz val="10.0"/>
      </rPr>
      <t xml:space="preserve"> | 9 PD | 9 MD | 3 MP</t>
    </r>
  </si>
  <si>
    <t>2d8+4</t>
  </si>
  <si>
    <r>
      <rPr>
        <rFont val="Arial"/>
        <b/>
        <sz val="10.0"/>
      </rPr>
      <t xml:space="preserve">60 HP | </t>
    </r>
    <r>
      <rPr>
        <rFont val="Arial"/>
        <b val="0"/>
        <i/>
        <sz val="10.0"/>
      </rPr>
      <t>2 ATK</t>
    </r>
    <r>
      <rPr>
        <rFont val="Arial"/>
        <b/>
        <sz val="10.0"/>
      </rPr>
      <t xml:space="preserve"> | 14 MAG | 9 PD | 9 MD | 1 MP</t>
    </r>
  </si>
  <si>
    <t>Cone 2</t>
  </si>
  <si>
    <t>"A precise weapon with high accuracy and critical chance, but lower non-critical damage."</t>
  </si>
  <si>
    <t>"Burn the opponent and benefit from their suffering."</t>
  </si>
  <si>
    <r>
      <rPr>
        <rFont val="Arial"/>
        <color rgb="FFEFEFEF"/>
      </rPr>
      <t xml:space="preserve">The user gains </t>
    </r>
    <r>
      <rPr>
        <rFont val="Arial"/>
        <color rgb="FFEFEFEF"/>
        <u/>
      </rPr>
      <t>+5 damage</t>
    </r>
    <r>
      <rPr>
        <rFont val="Arial"/>
        <color rgb="FFEFEFEF"/>
      </rPr>
      <t xml:space="preserve"> on their next attack. Before accuracy, the user may give this move Delay-1 to extend this attack's Cone by 1.</t>
    </r>
  </si>
  <si>
    <t>Hawkeye</t>
  </si>
  <si>
    <t>Sun Rays</t>
  </si>
  <si>
    <t>1d8+3</t>
  </si>
  <si>
    <r>
      <rPr>
        <rFont val="Arial"/>
        <color rgb="FF000000"/>
      </rPr>
      <t xml:space="preserve">Up to twice per turn, the user may choose to sacrifice </t>
    </r>
    <r>
      <rPr>
        <rFont val="Arial"/>
        <i/>
        <color rgb="FF000000"/>
      </rPr>
      <t>5 damage</t>
    </r>
    <r>
      <rPr>
        <rFont val="Arial"/>
        <color rgb="FF000000"/>
      </rPr>
      <t xml:space="preserve"> for </t>
    </r>
    <r>
      <rPr>
        <rFont val="Arial"/>
        <color rgb="FF000000"/>
        <u/>
      </rPr>
      <t>+2 accuracy</t>
    </r>
    <r>
      <rPr>
        <rFont val="Arial"/>
        <color rgb="FF000000"/>
      </rPr>
      <t xml:space="preserve"> and </t>
    </r>
    <r>
      <rPr>
        <rFont val="Arial"/>
        <color rgb="FF000000"/>
        <u/>
      </rPr>
      <t>+2 crit range</t>
    </r>
    <r>
      <rPr>
        <rFont val="Arial"/>
        <color rgb="FF000000"/>
      </rPr>
      <t xml:space="preserve"> this turn. This debuff is unremovable.</t>
    </r>
  </si>
  <si>
    <t>Blitz</t>
  </si>
  <si>
    <t>This move has Delay-X, where X is the number of Foes hit. This move is immune to outside factors. This does not add MAG.</t>
  </si>
  <si>
    <t>Dawn Break</t>
  </si>
  <si>
    <t>1d8+9</t>
  </si>
  <si>
    <t>The target is inflicted with unremovable Burn 3/1.</t>
  </si>
  <si>
    <t>Searing Shot</t>
  </si>
  <si>
    <t>2d6+0</t>
  </si>
  <si>
    <t>This ability has Delay-2. Until this ability lands, all of the user's attacks on the target have -1 MR. The user may increase the Delay by 1 for an additional -1 MR on the target.</t>
  </si>
  <si>
    <t>Prismatic Burst</t>
  </si>
  <si>
    <t>2d10+4</t>
  </si>
  <si>
    <t>Range 4
(Double Hit)</t>
  </si>
  <si>
    <t>3d6+6</t>
  </si>
  <si>
    <r>
      <rPr>
        <rFont val="Arial"/>
        <color rgb="FF000000"/>
      </rPr>
      <t xml:space="preserve">This attack critical hits on 18+. For each successful hit, the user gains </t>
    </r>
    <r>
      <rPr>
        <rFont val="Arial"/>
        <color rgb="FF000000"/>
        <u/>
      </rPr>
      <t>+4 damage</t>
    </r>
    <r>
      <rPr>
        <rFont val="Arial"/>
        <color rgb="FF000000"/>
      </rPr>
      <t xml:space="preserve"> on their next attack.</t>
    </r>
  </si>
  <si>
    <t>This attack has +2 ACC and +2 CR for every target.</t>
  </si>
  <si>
    <r>
      <rPr>
        <rFont val="Arial"/>
        <color rgb="FFEFEFEF"/>
      </rPr>
      <t xml:space="preserve">The user's next attack gains </t>
    </r>
    <r>
      <rPr>
        <rFont val="Arial"/>
        <color rgb="FFEFEFEF"/>
        <u/>
      </rPr>
      <t>+5 damage</t>
    </r>
    <r>
      <rPr>
        <rFont val="Arial"/>
        <color rgb="FFEFEFEF"/>
      </rPr>
      <t>.</t>
    </r>
  </si>
  <si>
    <t>Venom Shot</t>
  </si>
  <si>
    <t>The user may choose to add Delay-X to this ability to give it +X dice, where X is the amount of targets hit.</t>
  </si>
  <si>
    <t>Brilliant Flash</t>
  </si>
  <si>
    <t>Omen</t>
  </si>
  <si>
    <t xml:space="preserve">Range 4 </t>
  </si>
  <si>
    <t>Beam 2</t>
  </si>
  <si>
    <t>This attacks inflicts X Poison/1 on the target, where X is 2* accuracy bonus the user has. (If the user has no accuracy bonus, do not inflict Poison.)</t>
  </si>
  <si>
    <r>
      <rPr>
        <rFont val="Arial"/>
        <color rgb="FFEFEFEF"/>
      </rPr>
      <t xml:space="preserve">The user's next attack has an extra turn of delay with a </t>
    </r>
    <r>
      <rPr>
        <rFont val="Arial"/>
        <color rgb="FFEFEFEF"/>
        <u/>
      </rPr>
      <t>doubled delay bonus</t>
    </r>
    <r>
      <rPr>
        <rFont val="Arial"/>
        <color rgb="FFEFEFEF"/>
      </rPr>
      <t>.</t>
    </r>
  </si>
  <si>
    <t>Targets who are burned have their Burn extended by one round.</t>
  </si>
  <si>
    <t>Foresight</t>
  </si>
  <si>
    <t>Firestorm</t>
  </si>
  <si>
    <t>Homing Shot</t>
  </si>
  <si>
    <t>2d10+3</t>
  </si>
  <si>
    <t>This may be used when the user is attacked, after damage is rolled. 10% of the attack's damage is removed and added to all of the user's currently delayed attacks.</t>
  </si>
  <si>
    <r>
      <rPr>
        <rFont val="Arial"/>
        <color rgb="FFEFEFEF"/>
      </rPr>
      <t xml:space="preserve">If one of the targets missed the user with an attack on their last turn, the user's next attack gains </t>
    </r>
    <r>
      <rPr>
        <rFont val="Arial"/>
        <color rgb="FFEFEFEF"/>
        <u/>
      </rPr>
      <t>+X damage, where X = 3 * the MR of the attack that missed</t>
    </r>
    <r>
      <rPr>
        <rFont val="Arial"/>
        <color rgb="FFEFEFEF"/>
      </rPr>
      <t>.</t>
    </r>
  </si>
  <si>
    <t>This move automatically hits the target. (This move still rolls accuracy.)</t>
  </si>
  <si>
    <t>Prophecy</t>
  </si>
  <si>
    <t>Meteor Shower</t>
  </si>
  <si>
    <t>Salvo</t>
  </si>
  <si>
    <t>1d8+12</t>
  </si>
  <si>
    <t>All the user's currently delayed moves land at the same time as this attack.</t>
  </si>
  <si>
    <t>Corruption</t>
  </si>
  <si>
    <t>3d8+6</t>
  </si>
  <si>
    <t>3d8+5</t>
  </si>
  <si>
    <t>This attack inflicts 5 Poison/1 on hit. Before accuracy, the user may choose to give this move Delay-1 for extending the Poison duration by 1 round, or Delay-2 for +5 poison damage.</t>
  </si>
  <si>
    <t>Requite</t>
  </si>
  <si>
    <t>3d8+11</t>
  </si>
  <si>
    <t>This move has Delay-1 and a Delay bonus of +10 damage if the user dies before this attack lands.</t>
  </si>
  <si>
    <t xml:space="preserve">Pendulum </t>
  </si>
  <si>
    <t>For every target in range that is Burned, this attack gains a die.</t>
  </si>
  <si>
    <t>Radiant Dawn</t>
  </si>
  <si>
    <r>
      <rPr>
        <rFont val="Arial"/>
        <b/>
        <sz val="10.0"/>
      </rPr>
      <t xml:space="preserve">65 HP | </t>
    </r>
    <r>
      <rPr>
        <rFont val="Arial"/>
        <b val="0"/>
        <i/>
        <sz val="10.0"/>
      </rPr>
      <t>5 ATK</t>
    </r>
    <r>
      <rPr>
        <rFont val="Arial"/>
        <b/>
        <sz val="10.0"/>
      </rPr>
      <t xml:space="preserve"> | 9 MAG | 12 PD | 9 MD | 1 MP</t>
    </r>
  </si>
  <si>
    <t>When using a multihit attack, the user may choose different targets for each individual hit. When targeting different foes, instead of adding ATK/MAG only to the first hit, add the user's ATK/MAG and +/- damage effects divided by the amount of unique targets to the damage dealt to each foe.</t>
  </si>
  <si>
    <t>Dampening Shot</t>
  </si>
  <si>
    <t>"A control weapon that requires its opponents to use their abilities carefully."</t>
  </si>
  <si>
    <t>Oscillations</t>
  </si>
  <si>
    <t>Self or Foe</t>
  </si>
  <si>
    <t>4d6+5</t>
  </si>
  <si>
    <t>If this move deals less than 30 damage, inflict Seal/1 on the target.</t>
  </si>
  <si>
    <t>Hook Shot</t>
  </si>
  <si>
    <t>If used on a foe, the next time they are Burned, the burn damage is increased by 3. If used on self, the next time the user inflicts Burn, they heal the damage dealt by the burn whenever the foe takes it.</t>
  </si>
  <si>
    <t>Pyroclasm</t>
  </si>
  <si>
    <t>1d6+2</t>
  </si>
  <si>
    <t>Range 4
(Pull 3)</t>
  </si>
  <si>
    <t>The user chooses between pulling the target towards the user or pulling the user toward the target. If the user's accuracy is raised by at least two this turn, this move is immune to negative outside factors to damage. This move can be used as a non-damaging Movement on any obstruction to pull the user to the target or the target to the user, if possible.</t>
  </si>
  <si>
    <t>Trick Arrow</t>
  </si>
  <si>
    <t>All targets hit are inflicted with unremovable 3 Burn/1. This move and its burn are immune to outside factors. Do not add MAG to the roll.</t>
  </si>
  <si>
    <r>
      <rPr>
        <rFont val="Arial"/>
      </rPr>
      <t xml:space="preserve">The user starts the game with one </t>
    </r>
    <r>
      <rPr>
        <rFont val="Arial"/>
        <b/>
      </rPr>
      <t>Momentum</t>
    </r>
    <r>
      <rPr>
        <rFont val="Arial"/>
      </rPr>
      <t xml:space="preserve"> (max three). The user gains +1 MP per Momentum. Momentum can be spent even if the MP was used previously on their turn.
Conditional out-of-turn damage effects of this weapon can trigger only once, excluding damage from statuses.</t>
    </r>
  </si>
  <si>
    <t>Supernova</t>
  </si>
  <si>
    <t>Entrance</t>
  </si>
  <si>
    <t>Range 4 (Splash 1)</t>
  </si>
  <si>
    <t>On hit, this attack may target one additional foe within X-1 tiles from the original target. X = this attack's +CR bonus.</t>
  </si>
  <si>
    <t>Sagittarian Pride</t>
  </si>
  <si>
    <t>Twice / EoT</t>
  </si>
  <si>
    <t>2d6+3</t>
  </si>
  <si>
    <t>3d8+2</t>
  </si>
  <si>
    <t>Range 4
(Triple Hit)</t>
  </si>
  <si>
    <t>For each successful hit of this attack, subsequent hits gain +1 accuracy and +1 crit range.</t>
  </si>
  <si>
    <t>Arrow Storm</t>
  </si>
  <si>
    <t>Star 2</t>
  </si>
  <si>
    <t>Targets in Burst 1 are inflicted with unremovable 5 Burn/2. Other targets are inflicted with unremovable 5 Burn/1.</t>
  </si>
  <si>
    <t>Conflagration</t>
  </si>
  <si>
    <t>For one round, if the target uses a move on the user, the user gains one Momentum. This move can be used while Sealed.</t>
  </si>
  <si>
    <t>Torment</t>
  </si>
  <si>
    <t>Range 4
(Quadruple Hit)</t>
  </si>
  <si>
    <t xml:space="preserve"> If this attack has a damage buff from a Solar Rod move applied to it, double the additional damage dealt from it.</t>
  </si>
  <si>
    <t xml:space="preserve">This attack critical hits on 18+. Critical hits on this attack have triple base dice instead of double. </t>
  </si>
  <si>
    <t>Solar Flare</t>
  </si>
  <si>
    <t>5d4+3</t>
  </si>
  <si>
    <t>4d8+3</t>
  </si>
  <si>
    <t>Pierce 4</t>
  </si>
  <si>
    <r>
      <rPr>
        <rFont val="Arial"/>
      </rPr>
      <t xml:space="preserve">After accuracy, the user may spend 1 Momentum to either: extend the effect of their next Pendulum Standard/Full by one round (including status effects), or gain </t>
    </r>
    <r>
      <rPr>
        <rFont val="Arial"/>
        <u/>
      </rPr>
      <t>2d8+1 advantage damage</t>
    </r>
    <r>
      <rPr>
        <rFont val="Arial"/>
      </rPr>
      <t xml:space="preserve"> on their next Standard/Full attack.</t>
    </r>
  </si>
  <si>
    <t>This attack gains Bomb Dice if a target is burned.</t>
  </si>
  <si>
    <t>Action and Reaction</t>
  </si>
  <si>
    <t>Star Rod</t>
  </si>
  <si>
    <t>This can only be used at the start of the user's turn. The user permanently sacrifices 1 MP to increase their Momentum cap by 1 (preserving their Momentum stacks). Additionally, the user activates the ability to passively generate 1 Momentum after using a Standard/Full which targets a player (including self, except Dash), once per turn. Dowse is disabled for one round.</t>
  </si>
  <si>
    <t>Dowse</t>
  </si>
  <si>
    <r>
      <rPr>
        <rFont val="Arial"/>
        <b/>
        <sz val="10.0"/>
      </rPr>
      <t xml:space="preserve">65 HP | </t>
    </r>
    <r>
      <rPr>
        <rFont val="Arial"/>
        <b val="0"/>
        <i/>
        <sz val="10.0"/>
      </rPr>
      <t>0 ATK</t>
    </r>
    <r>
      <rPr>
        <rFont val="Arial"/>
        <b/>
        <sz val="10.0"/>
      </rPr>
      <t xml:space="preserve"> | 11 MAG | 12 PD | 12 MD | 2 MP</t>
    </r>
  </si>
  <si>
    <r>
      <rPr>
        <rFont val="Arial"/>
      </rPr>
      <t xml:space="preserve">Once per turn, the user's next Standard/Full attack this turn unremovably gains advantage damage rolls &amp; </t>
    </r>
    <r>
      <rPr>
        <rFont val="Arial"/>
        <i/>
      </rPr>
      <t>-2 DMG</t>
    </r>
    <r>
      <rPr>
        <rFont val="Arial"/>
      </rPr>
      <t>. Action and Reaction's passive Momentum generation is deactivated. (Dowse cannot trigger Amplifier).</t>
    </r>
  </si>
  <si>
    <t>Hallucinations</t>
  </si>
  <si>
    <t>Dark Abilities</t>
  </si>
  <si>
    <t>Varies</t>
  </si>
  <si>
    <t>"A defensive weapon that controls and manipulates enemy movement."</t>
  </si>
  <si>
    <r>
      <rPr>
        <rFont val="Arial"/>
      </rPr>
      <t xml:space="preserve">Choose </t>
    </r>
    <r>
      <rPr>
        <rFont val="Arial"/>
        <b/>
      </rPr>
      <t xml:space="preserve">Dream </t>
    </r>
    <r>
      <rPr>
        <rFont val="Arial"/>
      </rPr>
      <t xml:space="preserve">or </t>
    </r>
    <r>
      <rPr>
        <rFont val="Arial"/>
        <b/>
      </rPr>
      <t>Nightmare</t>
    </r>
    <r>
      <rPr>
        <rFont val="Arial"/>
      </rPr>
      <t xml:space="preserve">. </t>
    </r>
    <r>
      <rPr>
        <rFont val="Arial"/>
        <b/>
      </rPr>
      <t>Dream</t>
    </r>
    <r>
      <rPr>
        <rFont val="Arial"/>
      </rPr>
      <t xml:space="preserve">: 5d6+1 damage roll. The user gains two Momentum, while the target gains </t>
    </r>
    <r>
      <rPr>
        <rFont val="Arial"/>
        <u/>
      </rPr>
      <t>+3 DR/1</t>
    </r>
    <r>
      <rPr>
        <rFont val="Arial"/>
      </rPr>
      <t xml:space="preserve"> or </t>
    </r>
    <r>
      <rPr>
        <rFont val="Arial"/>
        <u/>
      </rPr>
      <t>+3 DMG/1</t>
    </r>
    <r>
      <rPr>
        <rFont val="Arial"/>
      </rPr>
      <t xml:space="preserve"> (chosen by the user). </t>
    </r>
    <r>
      <rPr>
        <rFont val="Arial"/>
        <b/>
      </rPr>
      <t>Nightmare</t>
    </r>
    <r>
      <rPr>
        <rFont val="Arial"/>
      </rPr>
      <t xml:space="preserve">: 3d10+2 damage roll. For one round, if the target uses a Once/Twice/Thrice move, they take 3d8+5 damage. The user may spend 2 Momentum to inflict </t>
    </r>
    <r>
      <rPr>
        <rFont val="Arial"/>
        <i/>
      </rPr>
      <t>-25% damage</t>
    </r>
    <r>
      <rPr>
        <rFont val="Arial"/>
      </rPr>
      <t xml:space="preserve"> </t>
    </r>
    <r>
      <rPr>
        <rFont val="Arial"/>
        <i/>
      </rPr>
      <t>on such attacks of the target</t>
    </r>
    <r>
      <rPr>
        <rFont val="Arial"/>
      </rPr>
      <t xml:space="preserve"> for one round.</t>
    </r>
  </si>
  <si>
    <t>Clacker Volley</t>
  </si>
  <si>
    <t>Geodesic</t>
  </si>
  <si>
    <t>Line 3
(Push 1)</t>
  </si>
  <si>
    <t>Targets are inflicted with Confusion/1. If at least two targets have hit the user with Standard/Full attacks last round, one of the targets hit (chosen by the user) is also Sealed/1. The Seal's duration cannot be extended by Torment.</t>
  </si>
  <si>
    <t>Angular Momentum</t>
  </si>
  <si>
    <t>The user takes 80% damage from attacks originating from their Range 3, and 10% more for every tile closer or farther away.</t>
  </si>
  <si>
    <r>
      <rPr>
        <rFont val="Arial"/>
      </rPr>
      <t xml:space="preserve">The user spends Momentum to gain </t>
    </r>
    <r>
      <rPr>
        <rFont val="Arial"/>
        <u/>
      </rPr>
      <t>+2 EVA/1</t>
    </r>
    <r>
      <rPr>
        <rFont val="Arial"/>
      </rPr>
      <t xml:space="preserve"> for every two Momentum spent. One additional Momentum may be spent to extend this buff's duration to two rounds.</t>
    </r>
  </si>
  <si>
    <t>Star Storm</t>
  </si>
  <si>
    <t>Mass Hysteria</t>
  </si>
  <si>
    <t>6d6+2</t>
  </si>
  <si>
    <r>
      <rPr>
        <rFont val="Arial"/>
      </rPr>
      <t xml:space="preserve">The user can spend 1 Momentum per effect to give this ability any combination of the following effects: 
- Make this attack Burst 2,
- Use this move as a Standard (1 Momentum is refunded if it misses 2+ targets),
</t>
    </r>
    <r>
      <rPr>
        <rFont val="Arial"/>
        <i/>
      </rPr>
      <t>- Reduce 2d4+3 DMG from the next Standard/Full attack of each target hit,</t>
    </r>
    <r>
      <rPr>
        <rFont val="Arial"/>
      </rPr>
      <t xml:space="preserve">
- Inflict Confusion/2.</t>
    </r>
  </si>
  <si>
    <t>Hypnotic Daze</t>
  </si>
  <si>
    <t>Athame</t>
  </si>
  <si>
    <t>1d12+10</t>
  </si>
  <si>
    <t>Range 5
(Splash 1)</t>
  </si>
  <si>
    <t>If the target uses a non-Weapon/non-Basic move in the next two rounds, they take 3d6+3 bomb damage. At the cost of one Momentum, the target's Frees and Triggers become Swifts for one round. If Dowse was used this turn, this move has +1 ACC.</t>
  </si>
  <si>
    <t>Nihil</t>
  </si>
  <si>
    <t>3d10+6</t>
  </si>
  <si>
    <t>Homing 3</t>
  </si>
  <si>
    <t>For one round, if the target fails to buff the user on their turn, they take 7d4+4 damage. While under this effect, the target may target foes in their Range 3 with moves that can normally buff Self and/or Allies.</t>
  </si>
  <si>
    <t>Shatter Psyche</t>
  </si>
  <si>
    <t>4d8+6</t>
  </si>
  <si>
    <t>For one round, if the target deals 45+ damage on their turn, they take 4d8+6 damage. The user may spend X Momentum to decrease the required damage threshold by 6X.</t>
  </si>
  <si>
    <t>Tarot Cards</t>
  </si>
  <si>
    <r>
      <rPr>
        <rFont val="Arial"/>
        <b/>
        <sz val="10.0"/>
      </rPr>
      <t xml:space="preserve">65 HP | </t>
    </r>
    <r>
      <rPr>
        <rFont val="Arial"/>
        <b val="0"/>
        <i/>
        <sz val="10.0"/>
      </rPr>
      <t>5 ATK</t>
    </r>
    <r>
      <rPr>
        <rFont val="Arial"/>
        <b/>
        <sz val="10.0"/>
      </rPr>
      <t xml:space="preserve"> | 11 MAG | 9 PD | 10 MD | 2 MP</t>
    </r>
  </si>
  <si>
    <t>If the target(s), on their next turn, moves towards the user, this deals an additional 1d8 damage.</t>
  </si>
  <si>
    <t>Orbit</t>
  </si>
  <si>
    <t>"A luck weapon - gamble on your attacks to give you a massive advantage... or disadvantage!"</t>
  </si>
  <si>
    <t>Discard</t>
  </si>
  <si>
    <r>
      <rPr>
        <rFont val="Arial"/>
        <b/>
        <sz val="10.0"/>
      </rPr>
      <t xml:space="preserve">65 HP | </t>
    </r>
    <r>
      <rPr>
        <rFont val="Arial"/>
        <b val="0"/>
        <i/>
        <sz val="10.0"/>
      </rPr>
      <t>6 ATK</t>
    </r>
    <r>
      <rPr>
        <rFont val="Arial"/>
        <b/>
        <sz val="10.0"/>
      </rPr>
      <t xml:space="preserve"> | 7 MAG | 15 PD | 10 MD | 3 MP</t>
    </r>
  </si>
  <si>
    <t>"Gradually sacrifice your own HP to permanently boost your damage with no limit."</t>
  </si>
  <si>
    <t>1d8+0</t>
  </si>
  <si>
    <t>Crimson Pact</t>
  </si>
  <si>
    <r>
      <rPr>
        <rFont val="Arial"/>
        <color rgb="FFEFEFEF"/>
      </rPr>
      <t xml:space="preserve">On an accuracy roll of 15+, the user gains 1 Discard stack. As a Reaction to an attack of a Foe within Range 4 after its accuracy roll, the user may spend one stack to give that attack </t>
    </r>
    <r>
      <rPr>
        <rFont val="Arial"/>
        <i/>
        <color rgb="FFEFEFEF"/>
      </rPr>
      <t>-2 ACC</t>
    </r>
    <r>
      <rPr>
        <rFont val="Arial"/>
        <color rgb="FFEFEFEF"/>
      </rPr>
      <t>.</t>
    </r>
  </si>
  <si>
    <t>Maverick</t>
  </si>
  <si>
    <t>Star 3</t>
  </si>
  <si>
    <t>On their next turn, targets that perform attacks that do not target the user (if they are able to target the user) take 2d8+8 damage. Additionally, targets who end their next turn in the user's Range 3 take 2d8+8 damage.</t>
  </si>
  <si>
    <t>Cosmic Power</t>
  </si>
  <si>
    <t>Whenever the user damages a foe, they sacrifice HP equal to 10% of the total damage the foe took, if able. Then, they gain permanent bonus damage equal to the damage they took. (Bonus damage is also gained through effect-derived CP.)</t>
  </si>
  <si>
    <t>Bloodrush</t>
  </si>
  <si>
    <t>Pierce 3</t>
  </si>
  <si>
    <t>By default, roll a d4 after rolling damage. This determines damage multiplication: 1 = 0.5x, 2 = 1x, 3 = 1.5x, 4 = 2x. The user may choose to not roll the d4 before damage.</t>
  </si>
  <si>
    <t>Roulette</t>
  </si>
  <si>
    <t>3d8+3</t>
  </si>
  <si>
    <t>If the opponent is able to move to a different tile type before the end of their next turn, but doesn't, this deals an additional 1d8+10 damage and inflicts 6 Cripple/1.</t>
  </si>
  <si>
    <t>Focal Point</t>
  </si>
  <si>
    <r>
      <rPr>
        <rFont val="Arial"/>
        <color rgb="FFFFFFFF"/>
      </rPr>
      <t xml:space="preserve">If this move is used in Melee range, before accuracy, the user gains </t>
    </r>
    <r>
      <rPr>
        <rFont val="Arial"/>
        <color rgb="FFFFFFFF"/>
        <u/>
      </rPr>
      <t>+3 DMG</t>
    </r>
    <r>
      <rPr>
        <rFont val="Arial"/>
        <color rgb="FFFFFFFF"/>
      </rPr>
      <t xml:space="preserve"> and </t>
    </r>
    <r>
      <rPr>
        <rFont val="Arial"/>
        <color rgb="FFFFFFFF"/>
        <u/>
      </rPr>
      <t>+1 MP</t>
    </r>
    <r>
      <rPr>
        <rFont val="Arial"/>
        <color rgb="FFFFFFFF"/>
      </rPr>
      <t xml:space="preserve"> for one round.</t>
    </r>
  </si>
  <si>
    <t>Roll a 1d8 to inflict a random status on the opponent, then roll a d3. If the d3 roll is 1, status the user instead. Statuses: 1 = 10 Bleed/1, 2 = 10 Poison/1, 3 = 10 Burn/1, 4 = Confusion/2, 5 = Seal/1, 6 = Root/1, 7 = 6 Cripple/1, 8 = Stun/1.</t>
  </si>
  <si>
    <t>Infusion</t>
  </si>
  <si>
    <t>Dealer</t>
  </si>
  <si>
    <t>1d10+8</t>
  </si>
  <si>
    <t>Thrice/EoT</t>
  </si>
  <si>
    <t>All</t>
  </si>
  <si>
    <r>
      <rPr>
        <rFont val="Arial"/>
      </rPr>
      <t xml:space="preserve">Gain either </t>
    </r>
    <r>
      <rPr>
        <rFont val="Arial"/>
        <b/>
      </rPr>
      <t>Exotic Star</t>
    </r>
    <r>
      <rPr>
        <rFont val="Arial"/>
      </rPr>
      <t xml:space="preserve"> or </t>
    </r>
    <r>
      <rPr>
        <rFont val="Arial"/>
        <b/>
      </rPr>
      <t>Sequence Star</t>
    </r>
    <r>
      <rPr>
        <rFont val="Arial"/>
      </rPr>
      <t xml:space="preserve"> until the start of the user's next turn. This move cannot be used while the user has a star active.
</t>
    </r>
    <r>
      <rPr>
        <rFont val="Arial"/>
        <b/>
      </rPr>
      <t>Exotic Star</t>
    </r>
    <r>
      <rPr>
        <rFont val="Arial"/>
      </rPr>
      <t xml:space="preserve">: Whenever the user deals damage to a foe outside their melee, deal an additional 1d8 damage. If </t>
    </r>
    <r>
      <rPr>
        <rFont val="Arial"/>
        <b/>
      </rPr>
      <t>Exotic Star</t>
    </r>
    <r>
      <rPr>
        <rFont val="Arial"/>
      </rPr>
      <t xml:space="preserve"> was also selected last turn, instead deal 1d4 additional damage.
</t>
    </r>
    <r>
      <rPr>
        <rFont val="Arial"/>
        <b/>
      </rPr>
      <t>Sequence Star</t>
    </r>
    <r>
      <rPr>
        <rFont val="Arial"/>
      </rPr>
      <t xml:space="preserve">: Geodesic instead calculates based on Range 1. If </t>
    </r>
    <r>
      <rPr>
        <rFont val="Arial"/>
        <b/>
      </rPr>
      <t>Sequence Star</t>
    </r>
    <r>
      <rPr>
        <rFont val="Arial"/>
      </rPr>
      <t xml:space="preserve"> was also selected last turn, Geodesic's base is 90%.</t>
    </r>
  </si>
  <si>
    <t>White Hole</t>
  </si>
  <si>
    <r>
      <rPr>
        <rFont val="Arial"/>
        <color rgb="FFFFFFFF"/>
      </rPr>
      <t xml:space="preserve">For one round, the user gains </t>
    </r>
    <r>
      <rPr>
        <rFont val="Arial"/>
        <color rgb="FFFFFFFF"/>
        <u/>
      </rPr>
      <t>+DR</t>
    </r>
    <r>
      <rPr>
        <rFont val="Arial"/>
        <color rgb="FFFFFFFF"/>
      </rPr>
      <t xml:space="preserve"> equal to the amount of bonus damage gained from this attack with Crimson Pact.</t>
    </r>
  </si>
  <si>
    <t>Purloin Youth</t>
  </si>
  <si>
    <t>Roll Xd13 where X is the number of players alive. P1 takes the first dice roll as damage, P2 the second roll, etc. This is immune to all outside factors.</t>
  </si>
  <si>
    <t>Gamble</t>
  </si>
  <si>
    <t>2d8+10</t>
  </si>
  <si>
    <t>3d8+0</t>
  </si>
  <si>
    <r>
      <t xml:space="preserve">If the user is in </t>
    </r>
    <r>
      <rPr>
        <rFont val="Arial"/>
        <b/>
      </rPr>
      <t>Exotic</t>
    </r>
    <r>
      <rPr>
        <rFont val="Arial"/>
      </rPr>
      <t xml:space="preserve"> </t>
    </r>
    <r>
      <rPr>
        <rFont val="Arial"/>
        <b/>
      </rPr>
      <t>Star</t>
    </r>
    <r>
      <rPr>
        <rFont val="Arial"/>
      </rPr>
      <t>, the target is pushed to a space within the user's Range 4-6. The push must be in the direction of the attack. After using this move, the user's movement action is disabled for the rest of their turn.</t>
    </r>
  </si>
  <si>
    <r>
      <rPr>
        <rFont val="Arial"/>
        <color rgb="FFFFFFFF"/>
      </rPr>
      <t xml:space="preserve">For one round, the target suffers </t>
    </r>
    <r>
      <rPr>
        <rFont val="Arial"/>
        <i/>
        <color rgb="FFFFFFFF"/>
      </rPr>
      <t>-1 EVA</t>
    </r>
    <r>
      <rPr>
        <rFont val="Arial"/>
        <color rgb="FFFFFFFF"/>
      </rPr>
      <t xml:space="preserve"> and the user gains </t>
    </r>
    <r>
      <rPr>
        <rFont val="Arial"/>
        <color rgb="FFFFFFFF"/>
        <u/>
      </rPr>
      <t>+1 EVA</t>
    </r>
    <r>
      <rPr>
        <rFont val="Arial"/>
        <color rgb="FFFFFFFF"/>
      </rPr>
      <t>. If the target's next Standard/Full attack misses on the user, the user still rolls the attack's damage and sacrifices 10% of the damage (excluding outside factors) to Crimson Pact.</t>
    </r>
  </si>
  <si>
    <t>Black Hole</t>
  </si>
  <si>
    <t>Defile</t>
  </si>
  <si>
    <t>Roll d7. 1 = Subtract the target's ATK and MAG, 2 = Subtract the higher of the target's offensive stats, 3 = Subtract the user's ATK, 4 = Add the user's ATK, 5 = Add the higher of the target's offensive stats, 6 = Add the user's MAG again, 7 = Add the user's ATK and the target's ATK and MAG. This ability is immune to outside factors to damage. (These effects do not count as negative damage factors. This move still adds the user's MAG.)</t>
  </si>
  <si>
    <t>Blackjack</t>
  </si>
  <si>
    <t>1d10+5</t>
  </si>
  <si>
    <t>On a successful hit, roll 2d10, treating 1s as either 1 or 11 (user’s choice). The user may choose to roll additional 1d10s to add to the roll. If the total is 17-20, this attack gains 1 base dice. On a total of 21, this attack instead gains 3 base dice. On a total of 22 or higher, the attack instead loses 2 base dice.</t>
  </si>
  <si>
    <t>Targets are inflicted with 5 Poison/1. For each target hit, the user sacrifices 1 HP to Crimson Pact.</t>
  </si>
  <si>
    <t>Hi-Lo</t>
  </si>
  <si>
    <t>Sanctified Blade</t>
  </si>
  <si>
    <r>
      <t xml:space="preserve">If the user is in </t>
    </r>
    <r>
      <rPr>
        <rFont val="Arial"/>
        <b/>
      </rPr>
      <t>Sequence</t>
    </r>
    <r>
      <rPr>
        <rFont val="Arial"/>
      </rPr>
      <t xml:space="preserve"> </t>
    </r>
    <r>
      <rPr>
        <rFont val="Arial"/>
        <b/>
      </rPr>
      <t>Star</t>
    </r>
    <r>
      <rPr>
        <rFont val="Arial"/>
      </rPr>
      <t>, the target is pulled to a space within the user's Range 2. The pull must be in the direction of the attack.</t>
    </r>
  </si>
  <si>
    <t>Xd10+0</t>
  </si>
  <si>
    <t>Gravitation</t>
  </si>
  <si>
    <t>Roll a d10. The user predicts whether the next d10 result will be higher or lower than the previous result, then rolls again. On a correct guess, this attack gains +2 base dice and the user may continue predicting and rolling (max 5 guesses) or choose to stop. On a failed guess, the user stops and the attack loses half of its total base dice. If the roll is the same as the previous, reroll that die.</t>
  </si>
  <si>
    <t>Full House</t>
  </si>
  <si>
    <t>7d8+0</t>
  </si>
  <si>
    <r>
      <t xml:space="preserve">Crimson Pact's sacrifice amount on the user's next single-target attack is </t>
    </r>
    <r>
      <rPr>
        <rFont val="Arial"/>
        <color rgb="FFFFFFFF"/>
      </rPr>
      <t>increased by 10%</t>
    </r>
    <r>
      <rPr>
        <rFont val="Arial"/>
        <color rgb="FFFFFFFF"/>
      </rPr>
      <t xml:space="preserve">. If the Foe has targeted the user since the beginning of their last turn, the amount is </t>
    </r>
    <r>
      <rPr>
        <rFont val="Arial"/>
        <color rgb="FFFFFFFF"/>
      </rPr>
      <t>increased by an additional 5%.</t>
    </r>
  </si>
  <si>
    <t>Massacre</t>
  </si>
  <si>
    <t>Roll 3d3. For every 3 rolled, this attack gains +1 die. Only add half MAG.</t>
  </si>
  <si>
    <t>The user chooses another player (can be the user, but not the target's allies) in Range 3. If the target does not attack that player on their next turn, they take 2d8+5 damage.</t>
  </si>
  <si>
    <t>House Advantage</t>
  </si>
  <si>
    <t>Singularity</t>
  </si>
  <si>
    <t>Dueler Abilities</t>
  </si>
  <si>
    <t>2d10+12</t>
  </si>
  <si>
    <t>2d12+6</t>
  </si>
  <si>
    <t>Thrice/E2T</t>
  </si>
  <si>
    <r>
      <rPr>
        <rFont val="Arial"/>
        <color rgb="FFEFEFEF"/>
      </rPr>
      <t xml:space="preserve">Targets are inflicted with </t>
    </r>
    <r>
      <rPr>
        <rFont val="Arial"/>
        <i/>
        <color rgb="FFEFEFEF"/>
      </rPr>
      <t>-7 DMG</t>
    </r>
    <r>
      <rPr>
        <rFont val="Arial"/>
        <color rgb="FFEFEFEF"/>
      </rPr>
      <t>/1. Each target may choose to roll a d10 and a d2 together. If the d2 rolls 1, add the d10 to their debuff, if it rolls 2, subtract it instead.</t>
    </r>
  </si>
  <si>
    <t>Stacked Deck</t>
  </si>
  <si>
    <t>Tile</t>
  </si>
  <si>
    <t>If an opponent is killed using this move, the CP gained from it is doubled. (Round down the amount gained normally before doubling.)</t>
  </si>
  <si>
    <t>Burst 3</t>
  </si>
  <si>
    <t>Black Magic</t>
  </si>
  <si>
    <t>Select a tile in the user's Burst 3 (can be the user's tile). Up to three foes and/or allies are pulled two spaces toward the selected tile in any order.</t>
  </si>
  <si>
    <t>Negative Mass</t>
  </si>
  <si>
    <t>6d8+0</t>
  </si>
  <si>
    <t>Burst 2</t>
  </si>
  <si>
    <t xml:space="preserve">When the user has 8+ CP, they gain +1 MP permanently. With 12+ CP, they gain +3 DR permanently. With 15+ CP, they gain +5 MAG permanently. </t>
  </si>
  <si>
    <t>Exsanguinate</t>
  </si>
  <si>
    <t>In place of an accuracy roll, roll a 1d14 for an effect:
1 = Set the user's HP to 1.
2 = Deals no damage, and the user is Stunned on their next turn.
3 = The target is instead healed by the damage roll.
4 = This attack misses.
5 = Deals 0.5x damage.
6 = The user takes recoil equal to half the damage dealt by this attack.
7 = Cleanse all statuses and numerical debuffs from the user &amp; reset their other moves' frequencies.
8 = This attack has Bomb dice.
9 = Inflict 5 Burn/1, 5 Bleed/1, and 5 Poison/1 on the target (stacks with other statuses).
10 = The user gains a Once/Reaction: "reroll the Cards move's secondary effect".
11 = Deals 1.5x damage.
12 = Inflict Seal/1.
13 = Inflict Stun/1.
14 = This attack has unremovable thrice dice.</t>
  </si>
  <si>
    <r>
      <t xml:space="preserve">Targets cannot damage the user from melee range for one round. The user must be in </t>
    </r>
    <r>
      <rPr>
        <rFont val="Arial"/>
        <b/>
      </rPr>
      <t>Exotic</t>
    </r>
    <r>
      <rPr>
        <rFont val="Arial"/>
      </rPr>
      <t xml:space="preserve"> </t>
    </r>
    <r>
      <rPr>
        <rFont val="Arial"/>
        <b/>
      </rPr>
      <t>Star</t>
    </r>
    <r>
      <rPr>
        <rFont val="Arial"/>
      </rPr>
      <t xml:space="preserve"> to use this ability.</t>
    </r>
  </si>
  <si>
    <t>Planetary Nebula</t>
  </si>
  <si>
    <t>This move does not benefit from the user's CP damage bonus. The user's current Black Magic buffs are doubled.</t>
  </si>
  <si>
    <t>Siphon Soul</t>
  </si>
  <si>
    <r>
      <rPr>
        <rFont val="Arial"/>
        <b/>
        <sz val="10.0"/>
      </rPr>
      <t xml:space="preserve">65 HP | 14 ATK | </t>
    </r>
    <r>
      <rPr>
        <rFont val="Arial"/>
        <b val="0"/>
        <i/>
        <sz val="10.0"/>
      </rPr>
      <t>0 MAG</t>
    </r>
    <r>
      <rPr>
        <rFont val="Arial"/>
        <b/>
        <sz val="10.0"/>
      </rPr>
      <t xml:space="preserve"> | 15 PD | 10 MD | 2 MP</t>
    </r>
  </si>
  <si>
    <t>"A three-in-one versatile weapon."</t>
  </si>
  <si>
    <t>Bonus damage to this move from Crimson Pact also restores the user's HP.</t>
  </si>
  <si>
    <t>Oblation</t>
  </si>
  <si>
    <r>
      <rPr>
        <rFont val="Arial"/>
      </rPr>
      <t xml:space="preserve">Foes that can enter the user’s melee can only damage them from melee for one round. The user must be in </t>
    </r>
    <r>
      <rPr>
        <rFont val="Arial"/>
        <b/>
      </rPr>
      <t>Sequence</t>
    </r>
    <r>
      <rPr>
        <rFont val="Arial"/>
      </rPr>
      <t xml:space="preserve"> </t>
    </r>
    <r>
      <rPr>
        <rFont val="Arial"/>
        <b/>
      </rPr>
      <t>Star</t>
    </r>
    <r>
      <rPr>
        <rFont val="Arial"/>
      </rPr>
      <t xml:space="preserve"> to use this ability.</t>
    </r>
  </si>
  <si>
    <t>Asteroid Belt</t>
  </si>
  <si>
    <t>Weapon Swap</t>
  </si>
  <si>
    <t>This move gets double bonus damage from Crimson Pact. For one round, the user's moves do not benefit from CP bonus.</t>
  </si>
  <si>
    <t>Chalice</t>
  </si>
  <si>
    <t>Swift or Standard</t>
  </si>
  <si>
    <r>
      <t xml:space="preserve">If the user is in </t>
    </r>
    <r>
      <rPr>
        <rFont val="Arial"/>
        <b/>
      </rPr>
      <t>Exotic</t>
    </r>
    <r>
      <rPr>
        <rFont val="Arial"/>
      </rPr>
      <t xml:space="preserve"> </t>
    </r>
    <r>
      <rPr>
        <rFont val="Arial"/>
        <b/>
      </rPr>
      <t>Star</t>
    </r>
    <r>
      <rPr>
        <rFont val="Arial"/>
      </rPr>
      <t xml:space="preserve">, ranged attacks on the user lose Xd4 damage for one round, where X is the range the attack was used at (max of 3d4). If in </t>
    </r>
    <r>
      <rPr>
        <rFont val="Arial"/>
        <b/>
      </rPr>
      <t>Sequence</t>
    </r>
    <r>
      <rPr>
        <rFont val="Arial"/>
      </rPr>
      <t xml:space="preserve"> </t>
    </r>
    <r>
      <rPr>
        <rFont val="Arial"/>
        <b/>
      </rPr>
      <t>Star</t>
    </r>
    <r>
      <rPr>
        <rFont val="Arial"/>
      </rPr>
      <t>, foes who willingly enter the user's melee range before the user's next turn take 2d8+5 damage. This ability may be used as a Standard to extend the effect's duration by an additional round.</t>
    </r>
  </si>
  <si>
    <t>Accretion Disc</t>
  </si>
  <si>
    <r>
      <rPr>
        <rFont val="Arial"/>
        <b/>
        <sz val="10.0"/>
      </rPr>
      <t xml:space="preserve">65 HP | </t>
    </r>
    <r>
      <rPr>
        <rFont val="Arial"/>
        <b val="0"/>
        <i/>
        <sz val="10.0"/>
      </rPr>
      <t>0 ATK</t>
    </r>
    <r>
      <rPr>
        <rFont val="Arial"/>
        <b/>
        <sz val="10.0"/>
      </rPr>
      <t xml:space="preserve"> | 13 MAG | 15 PD | 15 MD | 1 MP</t>
    </r>
  </si>
  <si>
    <t>"Summons a blood tile from which you can poison the opponent and extend your eldritch powers."</t>
  </si>
  <si>
    <r>
      <rPr>
        <rFont val="Arial"/>
        <color rgb="FF000000"/>
      </rPr>
      <t xml:space="preserve">The user switches to </t>
    </r>
    <r>
      <rPr>
        <rFont val="Arial"/>
        <b/>
        <color rgb="FF000000"/>
      </rPr>
      <t>Gladius</t>
    </r>
    <r>
      <rPr>
        <rFont val="Arial"/>
        <color rgb="FF000000"/>
      </rPr>
      <t xml:space="preserve">, </t>
    </r>
    <r>
      <rPr>
        <rFont val="Arial"/>
        <b/>
        <color rgb="FF000000"/>
      </rPr>
      <t>Scutum</t>
    </r>
    <r>
      <rPr>
        <rFont val="Arial"/>
        <color rgb="FF000000"/>
      </rPr>
      <t xml:space="preserve"> or </t>
    </r>
    <r>
      <rPr>
        <rFont val="Arial"/>
        <b/>
        <color rgb="FF000000"/>
      </rPr>
      <t>Pilum</t>
    </r>
    <r>
      <rPr>
        <rFont val="Arial"/>
        <color rgb="FF000000"/>
      </rPr>
      <t xml:space="preserve">. (The user starts the game in </t>
    </r>
    <r>
      <rPr>
        <rFont val="Arial"/>
        <b/>
        <color rgb="FF000000"/>
      </rPr>
      <t>Gladius</t>
    </r>
    <r>
      <rPr>
        <rFont val="Arial"/>
        <color rgb="FF000000"/>
      </rPr>
      <t>.)</t>
    </r>
  </si>
  <si>
    <t>4d8+5</t>
  </si>
  <si>
    <t>Exercitus</t>
  </si>
  <si>
    <t>Pact of the Elder</t>
  </si>
  <si>
    <t>Star 4</t>
  </si>
  <si>
    <t>For one round, foes cannot enter or leave the user's Star 2. Targets are inflicted with 6 Cripple/1.</t>
  </si>
  <si>
    <t>Range 2</t>
  </si>
  <si>
    <t>While active, the user's Blood tile creates a Blood Storm effect in Burst 1 of the tile. Foes must use an additional MP to exit the Blood Storm. 
If the user is within Range 3 of their Blood tile, they may choose to have their abilities originate from the Blood tile. By doing so, the attack gains +3 damage.
This ability follows range rule.</t>
  </si>
  <si>
    <r>
      <t xml:space="preserve">If the user is </t>
    </r>
    <r>
      <rPr>
        <rFont val="Arial"/>
        <b/>
        <color rgb="FF000000"/>
      </rPr>
      <t>Gladius</t>
    </r>
    <r>
      <rPr>
        <rFont val="Arial"/>
        <color rgb="FF000000"/>
      </rPr>
      <t xml:space="preserve">, this deals +3 damage. If </t>
    </r>
    <r>
      <rPr>
        <rFont val="Arial"/>
        <b/>
        <color rgb="FF000000"/>
      </rPr>
      <t>Scutum</t>
    </r>
    <r>
      <rPr>
        <rFont val="Arial"/>
        <color rgb="FF000000"/>
      </rPr>
      <t xml:space="preserve">, the user gains </t>
    </r>
    <r>
      <rPr>
        <rFont val="Arial"/>
        <color rgb="FF000000"/>
        <u/>
      </rPr>
      <t>+3 DR/1</t>
    </r>
    <r>
      <rPr>
        <rFont val="Arial"/>
        <color rgb="FF000000"/>
      </rPr>
      <t xml:space="preserve">. If </t>
    </r>
    <r>
      <rPr>
        <rFont val="Arial"/>
        <b/>
        <color rgb="FF000000"/>
      </rPr>
      <t>Pilum</t>
    </r>
    <r>
      <rPr>
        <rFont val="Arial"/>
        <color rgb="FF000000"/>
      </rPr>
      <t>, this move has -1 MR.</t>
    </r>
  </si>
  <si>
    <t>Blood Storm</t>
  </si>
  <si>
    <t>Opening Strike</t>
  </si>
  <si>
    <r>
      <rPr>
        <rFont val="Arial"/>
        <color rgb="FF000000"/>
      </rPr>
      <t xml:space="preserve">If the user is in </t>
    </r>
    <r>
      <rPr>
        <rFont val="Arial"/>
        <b/>
        <color rgb="FF000000"/>
      </rPr>
      <t>Scutum</t>
    </r>
    <r>
      <rPr>
        <rFont val="Arial"/>
        <color rgb="FF000000"/>
      </rPr>
      <t xml:space="preserve">, the target is inflicted with 5 Bleed/1. If the user is in </t>
    </r>
    <r>
      <rPr>
        <rFont val="Arial"/>
        <b/>
        <color rgb="FF000000"/>
      </rPr>
      <t>Pilum</t>
    </r>
    <r>
      <rPr>
        <rFont val="Arial"/>
        <color rgb="FF000000"/>
      </rPr>
      <t xml:space="preserve">, the target is inflicted with Confusion/1. The user automatically switches to </t>
    </r>
    <r>
      <rPr>
        <rFont val="Arial"/>
        <b/>
        <color rgb="FF000000"/>
      </rPr>
      <t>Gladius</t>
    </r>
    <r>
      <rPr>
        <rFont val="Arial"/>
        <color rgb="FF000000"/>
      </rPr>
      <t>.</t>
    </r>
  </si>
  <si>
    <t>Forward Jab</t>
  </si>
  <si>
    <t>The user either: sacrifices 10 HP to place a Blood tile in range, or removes their Blood tile. The user can only have one Blood at once, and Blood tiles cannot be replaced.</t>
  </si>
  <si>
    <t>2d10+5</t>
  </si>
  <si>
    <t>Tainted Faith</t>
  </si>
  <si>
    <t>2d8+3</t>
  </si>
  <si>
    <r>
      <rPr>
        <rFont val="Arial"/>
        <color rgb="FF000000"/>
      </rPr>
      <t xml:space="preserve">This move has a different effect depending on the user's weapon.
</t>
    </r>
    <r>
      <rPr>
        <rFont val="Arial"/>
        <b/>
        <color rgb="FF000000"/>
      </rPr>
      <t>Gladius</t>
    </r>
    <r>
      <rPr>
        <rFont val="Arial"/>
        <color rgb="FF000000"/>
      </rPr>
      <t xml:space="preserve">: +5 damage.
</t>
    </r>
    <r>
      <rPr>
        <rFont val="Arial"/>
        <b/>
        <color rgb="FF000000"/>
      </rPr>
      <t>Scutum</t>
    </r>
    <r>
      <rPr>
        <rFont val="Arial"/>
        <color rgb="FF000000"/>
      </rPr>
      <t xml:space="preserve">: The target's next standard/full attack loses </t>
    </r>
    <r>
      <rPr>
        <rFont val="Arial"/>
        <i/>
        <color rgb="FF000000"/>
      </rPr>
      <t>5 damage.</t>
    </r>
    <r>
      <rPr>
        <rFont val="Arial"/>
        <color rgb="FF000000"/>
      </rPr>
      <t xml:space="preserve">
</t>
    </r>
    <r>
      <rPr>
        <rFont val="Arial"/>
        <b/>
        <color rgb="FF000000"/>
      </rPr>
      <t>Pilum</t>
    </r>
    <r>
      <rPr>
        <rFont val="Arial"/>
        <color rgb="FF000000"/>
      </rPr>
      <t>: This move may be made AoE/Foes/Pierce 4 instead.</t>
    </r>
  </si>
  <si>
    <t>Shield Wall</t>
  </si>
  <si>
    <t>The target is inflicted with unremovable 5 Poison/1. If this ability originates from the user's Blood tile, it has -1 range but the target is inflicted with unremovable 7 Poison/1 instead.</t>
  </si>
  <si>
    <t>Defiled Tentacles</t>
  </si>
  <si>
    <t>Cone 1</t>
  </si>
  <si>
    <t>Homing 4
(Pull 2)</t>
  </si>
  <si>
    <r>
      <t xml:space="preserve">The user must be in </t>
    </r>
    <r>
      <rPr>
        <rFont val="Arial"/>
        <b/>
        <color rgb="FF000000"/>
      </rPr>
      <t>Gladius</t>
    </r>
    <r>
      <rPr>
        <rFont val="Arial"/>
        <color rgb="FF000000"/>
      </rPr>
      <t xml:space="preserve"> or </t>
    </r>
    <r>
      <rPr>
        <rFont val="Arial"/>
        <b/>
        <color rgb="FF000000"/>
      </rPr>
      <t>Pilum</t>
    </r>
    <r>
      <rPr>
        <rFont val="Arial"/>
        <color rgb="FF000000"/>
      </rPr>
      <t xml:space="preserve"> to use this move, and may be used as a non-damaging standard on the user. The user automatically switches to </t>
    </r>
    <r>
      <rPr>
        <rFont val="Arial"/>
        <b/>
        <color rgb="FF000000"/>
      </rPr>
      <t>Scutum</t>
    </r>
    <r>
      <rPr>
        <rFont val="Arial"/>
        <color rgb="FF000000"/>
      </rPr>
      <t xml:space="preserve"> and only takes </t>
    </r>
    <r>
      <rPr>
        <rFont val="Arial"/>
        <color rgb="FF000000"/>
        <u/>
      </rPr>
      <t>75% damage</t>
    </r>
    <r>
      <rPr>
        <rFont val="Arial"/>
        <color rgb="FF000000"/>
      </rPr>
      <t xml:space="preserve"> from foes' attacks for one round.</t>
    </r>
  </si>
  <si>
    <t xml:space="preserve">If this ability originates from the user's Blood tile, it becomes 1/Foe/Range 5 and has Pull 4 instead. </t>
  </si>
  <si>
    <t>Invigorate</t>
  </si>
  <si>
    <t>Accursed Brew</t>
  </si>
  <si>
    <t>2d6+6</t>
  </si>
  <si>
    <r>
      <rPr>
        <rFont val="Arial"/>
        <color rgb="FF000000"/>
      </rPr>
      <t xml:space="preserve">Targets gain a buff, depending on the user's Weapon.
</t>
    </r>
    <r>
      <rPr>
        <rFont val="Arial"/>
        <b/>
        <color rgb="FF000000"/>
      </rPr>
      <t>Gladius:</t>
    </r>
    <r>
      <rPr>
        <rFont val="Arial"/>
        <color rgb="FF000000"/>
      </rPr>
      <t xml:space="preserve"> </t>
    </r>
    <r>
      <rPr>
        <rFont val="Arial"/>
        <color rgb="FF000000"/>
        <u/>
      </rPr>
      <t>+DMG on their next attacks</t>
    </r>
    <r>
      <rPr>
        <rFont val="Arial"/>
        <color rgb="FF000000"/>
      </rPr>
      <t xml:space="preserve">, equal to 10% of the damage dealt by the user's previous attack.
</t>
    </r>
    <r>
      <rPr>
        <rFont val="Arial"/>
        <b/>
        <color rgb="FF000000"/>
      </rPr>
      <t>Scutum:</t>
    </r>
    <r>
      <rPr>
        <rFont val="Arial"/>
        <color rgb="FF000000"/>
      </rPr>
      <t xml:space="preserve"> </t>
    </r>
    <r>
      <rPr>
        <rFont val="Arial"/>
        <color rgb="FF000000"/>
        <u/>
      </rPr>
      <t>+DR for one round</t>
    </r>
    <r>
      <rPr>
        <rFont val="Arial"/>
        <color rgb="FF000000"/>
      </rPr>
      <t xml:space="preserve">, equal to 15% of the collective damage dealt by all target's previous attacks.
</t>
    </r>
    <r>
      <rPr>
        <rFont val="Arial"/>
        <b/>
        <color rgb="FF000000"/>
      </rPr>
      <t>Pilum:</t>
    </r>
    <r>
      <rPr>
        <rFont val="Arial"/>
        <color rgb="FF000000"/>
      </rPr>
      <t xml:space="preserve"> </t>
    </r>
    <r>
      <rPr>
        <rFont val="Arial"/>
        <color rgb="FF000000"/>
        <u/>
      </rPr>
      <t>+ACC on their next attacks</t>
    </r>
    <r>
      <rPr>
        <rFont val="Arial"/>
        <color rgb="FF000000"/>
      </rPr>
      <t>, equal to 8% of the damage deal by the user's previous attack.</t>
    </r>
  </si>
  <si>
    <t>This ability gains +1 dice for every Poisoned target in range. If this ability originates from the user's Blood tile, it deals damage to all foes in the user's Blood Storm instead.</t>
  </si>
  <si>
    <t>Disengage</t>
  </si>
  <si>
    <t>Crimson Rain</t>
  </si>
  <si>
    <t>1d6+4</t>
  </si>
  <si>
    <r>
      <t xml:space="preserve">The user is pushed back one space. If the user is in </t>
    </r>
    <r>
      <rPr>
        <rFont val="Arial"/>
        <b/>
        <color rgb="FF000000"/>
      </rPr>
      <t>Gladius</t>
    </r>
    <r>
      <rPr>
        <rFont val="Arial"/>
        <color rgb="FF000000"/>
      </rPr>
      <t xml:space="preserve">, foes who enter the user's melee before the user's next turn take 5 damage. If the user is in </t>
    </r>
    <r>
      <rPr>
        <rFont val="Arial"/>
        <b/>
        <color rgb="FF000000"/>
      </rPr>
      <t>Scutum</t>
    </r>
    <r>
      <rPr>
        <rFont val="Arial"/>
        <color rgb="FF000000"/>
      </rPr>
      <t xml:space="preserve">, the user does not take damage from AoE attacks for one round. The user automatically switches to </t>
    </r>
    <r>
      <rPr>
        <rFont val="Arial"/>
        <b/>
        <color rgb="FF000000"/>
      </rPr>
      <t>Pilum</t>
    </r>
    <r>
      <rPr>
        <rFont val="Arial"/>
        <color rgb="FF000000"/>
      </rPr>
      <t>.</t>
    </r>
  </si>
  <si>
    <t>Weapon Crash</t>
  </si>
  <si>
    <t>The next time the user uses Blood Storm or Bloodlet, subtract the damage dealt by this attack from the HP sacrificed (this effect does not stack with itself). This ability is immune to outside factors to damage. Do not add MAG.</t>
  </si>
  <si>
    <t>Toxic Blood</t>
  </si>
  <si>
    <t>Foe(s)</t>
  </si>
  <si>
    <r>
      <rPr>
        <rFont val="Arial"/>
        <color rgb="FF000000"/>
      </rPr>
      <t xml:space="preserve">This move has a different range and effect depending on the user's Weapon. If Dual Wield is active, the user chooses one range and effect each from either of the two Weapons.
</t>
    </r>
    <r>
      <rPr>
        <rFont val="Arial"/>
        <b/>
        <color rgb="FF000000"/>
      </rPr>
      <t>Gladius</t>
    </r>
    <r>
      <rPr>
        <rFont val="Arial"/>
        <color rgb="FF000000"/>
      </rPr>
      <t xml:space="preserve">: One/Foe/Melee, and inflicts 10 Bleed/1.
</t>
    </r>
    <r>
      <rPr>
        <rFont val="Arial"/>
        <b/>
        <color rgb="FF000000"/>
      </rPr>
      <t>Scutum</t>
    </r>
    <r>
      <rPr>
        <rFont val="Arial"/>
        <color rgb="FF000000"/>
      </rPr>
      <t xml:space="preserve">: AoE/Foes/Cone 2, and Push 3.
</t>
    </r>
    <r>
      <rPr>
        <rFont val="Arial"/>
        <b/>
        <color rgb="FF000000"/>
      </rPr>
      <t>Pilum</t>
    </r>
    <r>
      <rPr>
        <rFont val="Arial"/>
        <color rgb="FF000000"/>
      </rPr>
      <t>: AoE/Foes/Pierce 3, and inflicts 6 Cripple/1.</t>
    </r>
  </si>
  <si>
    <t>Dual Wield</t>
  </si>
  <si>
    <t>For 1 round, Foes who enter the user's Blood Storm are inflicted with unremovable 3 Poison/1. If already inflicted with unremovable Poison, increase its damage by 3 and its duration by 1.</t>
  </si>
  <si>
    <t>Hemokinesis</t>
  </si>
  <si>
    <r>
      <rPr>
        <rFont val="Arial"/>
        <color rgb="FF000000"/>
      </rPr>
      <t>The user benefits from the effects of any two weapons (</t>
    </r>
    <r>
      <rPr>
        <rFont val="Arial"/>
        <b/>
        <color rgb="FF000000"/>
      </rPr>
      <t>Gladius/Scutum/Pilum</t>
    </r>
    <r>
      <rPr>
        <rFont val="Arial"/>
        <color rgb="FF000000"/>
      </rPr>
      <t>) this turn. At the end of their turn, if they did not switch weapons again, they revert to their original weapon.</t>
    </r>
  </si>
  <si>
    <t>4d8+0</t>
  </si>
  <si>
    <t>Imperial Might</t>
  </si>
  <si>
    <t>Homing 4
(Splash 1)</t>
  </si>
  <si>
    <t>The user's Blood tile is moved to the tile the target is currently on. This ability may be used as a non-damaging standard to move the Blood tile to a tile in range. The user then loses 5 HP.</t>
  </si>
  <si>
    <t>Bloodlet</t>
  </si>
  <si>
    <r>
      <t xml:space="preserve"> If the user is in </t>
    </r>
    <r>
      <rPr>
        <rFont val="Arial"/>
        <b/>
        <color rgb="FF000000"/>
      </rPr>
      <t>Gladius</t>
    </r>
    <r>
      <rPr>
        <rFont val="Arial"/>
        <color rgb="FF000000"/>
      </rPr>
      <t xml:space="preserve">, the user gains 15% of this attack's damage as </t>
    </r>
    <r>
      <rPr>
        <rFont val="Arial"/>
        <color rgb="FF000000"/>
        <u/>
      </rPr>
      <t>+damage</t>
    </r>
    <r>
      <rPr>
        <rFont val="Arial"/>
        <color rgb="FF000000"/>
      </rPr>
      <t xml:space="preserve"> for one round. If the user is in </t>
    </r>
    <r>
      <rPr>
        <rFont val="Arial"/>
        <b/>
        <color rgb="FF000000"/>
      </rPr>
      <t>Scutum</t>
    </r>
    <r>
      <rPr>
        <rFont val="Arial"/>
        <color rgb="FF000000"/>
      </rPr>
      <t xml:space="preserve">, the user gains immunity to statuses and debuffs for one round and is cured from them (before accuracy). If the user is in </t>
    </r>
    <r>
      <rPr>
        <rFont val="Arial"/>
        <b/>
        <color rgb="FF000000"/>
      </rPr>
      <t>Pilum</t>
    </r>
    <r>
      <rPr>
        <rFont val="Arial"/>
        <color rgb="FF000000"/>
      </rPr>
      <t xml:space="preserve">, the </t>
    </r>
    <r>
      <rPr>
        <rFont val="Arial"/>
        <i/>
        <color rgb="FF000000"/>
      </rPr>
      <t>target's evasions are reduced to 0</t>
    </r>
    <r>
      <rPr>
        <rFont val="Arial"/>
        <color rgb="FF000000"/>
      </rPr>
      <t xml:space="preserve"> for one round.</t>
    </r>
  </si>
  <si>
    <t>Iberian Steel</t>
  </si>
  <si>
    <t>3d10+10</t>
  </si>
  <si>
    <r>
      <rPr>
        <rFont val="Arial"/>
        <color rgb="FFEFEFEF"/>
      </rPr>
      <t xml:space="preserve">The user sacrifices 7 HP to permanently increase the Burst of their Blood Storm by 1. Until the start of the user's next turn, the user and allies in the user's Blood Storm gain </t>
    </r>
    <r>
      <rPr>
        <rFont val="Arial"/>
        <color rgb="FFEFEFEF"/>
        <u/>
      </rPr>
      <t>+3 DMG</t>
    </r>
    <r>
      <rPr>
        <rFont val="Arial"/>
        <color rgb="FFEFEFEF"/>
      </rPr>
      <t xml:space="preserve"> and </t>
    </r>
    <r>
      <rPr>
        <rFont val="Arial"/>
        <color rgb="FFEFEFEF"/>
        <u/>
      </rPr>
      <t>+1 ACC</t>
    </r>
    <r>
      <rPr>
        <rFont val="Arial"/>
        <color rgb="FFEFEFEF"/>
      </rPr>
      <t>. A Blood Storm may not increase in size more than once.</t>
    </r>
  </si>
  <si>
    <t>This attack gains +2X dice where X is the amount of times the user has used a Gladius ability (other than Weapon Swap and Dual Wield) with their least used weapon.</t>
  </si>
  <si>
    <t>Blood Ties</t>
  </si>
  <si>
    <t>Homing 2</t>
  </si>
  <si>
    <t>This ability must originate from the user's Blood tile. For 1 round, targets in the user's Blood Storm cannot exit the Blood Storm willingly.</t>
  </si>
  <si>
    <t>Price of Power</t>
  </si>
  <si>
    <r>
      <rPr>
        <rFont val="Arial"/>
        <b/>
        <sz val="10.0"/>
      </rPr>
      <t xml:space="preserve">65 HP | 10 ATK | </t>
    </r>
    <r>
      <rPr>
        <rFont val="Arial"/>
        <b val="0"/>
        <i/>
        <sz val="10.0"/>
      </rPr>
      <t>0 MAG</t>
    </r>
    <r>
      <rPr>
        <rFont val="Arial"/>
        <b/>
        <sz val="10.0"/>
      </rPr>
      <t xml:space="preserve"> | 12 PD | 12 MD | 3 MP</t>
    </r>
  </si>
  <si>
    <t>3d10+2</t>
  </si>
  <si>
    <t>Before accuracy, the user and allies within the Blood Storm may each sacrifice 5 HP to give this attack +1 dice for every 5 HP sacrificed (max of +3 dice).</t>
  </si>
  <si>
    <t>"The lower your HP, the more powerful you become."</t>
  </si>
  <si>
    <t>Eldritch Horror</t>
  </si>
  <si>
    <r>
      <rPr>
        <rFont val="Arial"/>
        <color rgb="FFEFEFEF"/>
      </rPr>
      <t xml:space="preserve">This ability must originate from the user's Blood tile and deals damage to all Foes in the Blood Storm. Poisoned targets take an additional 1d10+4 damage and have their Poison extended by 1 round. Non-poisoned targets are inflicted with unremovable 3X Poison/1, </t>
    </r>
    <r>
      <rPr>
        <rFont val="Arial"/>
        <i/>
        <color rgb="FFEFEFEF"/>
      </rPr>
      <t>-2X DR/1 and -2X DMG/1</t>
    </r>
    <r>
      <rPr>
        <rFont val="Arial"/>
        <color rgb="FFEFEFEF"/>
      </rPr>
      <t>, where X is the amount of targets in the Blood Storm.</t>
    </r>
  </si>
  <si>
    <t>Scythe</t>
  </si>
  <si>
    <r>
      <rPr>
        <rFont val="Arial"/>
        <b/>
        <sz val="10.0"/>
      </rPr>
      <t xml:space="preserve">65 HP | </t>
    </r>
    <r>
      <rPr>
        <rFont val="Arial"/>
        <b val="0"/>
        <i/>
        <sz val="10.0"/>
      </rPr>
      <t>8 ATK</t>
    </r>
    <r>
      <rPr>
        <rFont val="Arial"/>
        <b/>
        <sz val="10.0"/>
      </rPr>
      <t xml:space="preserve"> | 13 MAG | 9 PD | 9 MD | 2 MP</t>
    </r>
  </si>
  <si>
    <t>When the user is below 75%, 50%, or 25% of their Max HP (rounded down), they gain 1 Enrage counter. Each counter can only be acquired once, even if the user heals above a threshold. The user's attacks have +1 dice per counter.</t>
  </si>
  <si>
    <t>Cursed Slice</t>
  </si>
  <si>
    <t>"Steals the opponent's HP with every attack."</t>
  </si>
  <si>
    <t>3d7+3</t>
  </si>
  <si>
    <t>Reaper's Touch</t>
  </si>
  <si>
    <t>If the user has 1 Enrage counter, this move may be used when Sealed. If the user has 2+ counters, this may be used regardless of any statuses or move effects (except Stun).</t>
  </si>
  <si>
    <t>2d6+4</t>
  </si>
  <si>
    <r>
      <rPr>
        <rFont val="Arial"/>
        <color rgb="FFEFEFEF"/>
      </rPr>
      <t xml:space="preserve">For every enrage counter the user has, this move gains </t>
    </r>
    <r>
      <rPr>
        <rFont val="Arial"/>
        <color rgb="FFEFEFEF"/>
      </rPr>
      <t>+1 ACC</t>
    </r>
    <r>
      <rPr>
        <rFont val="Arial"/>
        <color rgb="FFEFEFEF"/>
      </rPr>
      <t>. The user moves as close to the target as possible.</t>
    </r>
  </si>
  <si>
    <t>Whenever the user damages a foe, the user heals 1/8 of the damage dealt.</t>
  </si>
  <si>
    <t>Provoke</t>
  </si>
  <si>
    <t>Reap</t>
  </si>
  <si>
    <t>If the target doesn't perform an attack which would deal over 35 damage before outside damage factors on their next turn, then the user gains one Enrage counter.</t>
  </si>
  <si>
    <t>Revenge</t>
  </si>
  <si>
    <t>Reaper's Touch heals 1/5 of the damage dealt by this attack instead of 1/8.</t>
  </si>
  <si>
    <t>Haunted Swing</t>
  </si>
  <si>
    <r>
      <rPr>
        <rFont val="Arial"/>
        <color rgb="FFEFEFEF"/>
      </rPr>
      <t xml:space="preserve">Once per turn, the user's next Standard/Full attack gains </t>
    </r>
    <r>
      <rPr>
        <rFont val="Arial"/>
        <color rgb="FFEFEFEF"/>
        <u/>
      </rPr>
      <t>+damage</t>
    </r>
    <r>
      <rPr>
        <rFont val="Arial"/>
        <color rgb="FFEFEFEF"/>
      </rPr>
      <t xml:space="preserve"> equal to X% of the damage they took from one of the targets since the start of the user's last turn. X = 10 times the amount of Enrage counters the user has.</t>
    </r>
  </si>
  <si>
    <t>Sharpen</t>
  </si>
  <si>
    <t>If this attack kills the target, the user gains one Enrage counter and another use on this move.</t>
  </si>
  <si>
    <t>Costly Swing</t>
  </si>
  <si>
    <t>6d4+8</t>
  </si>
  <si>
    <t>Targets at full HP take an additional 5 damage. The user heals 5 HP for each target this triggers on.</t>
  </si>
  <si>
    <r>
      <rPr>
        <rFont val="Arial"/>
        <color rgb="FFEFEFEF"/>
      </rPr>
      <t xml:space="preserve">Until the start of their next turn, the user has </t>
    </r>
    <r>
      <rPr>
        <rFont val="Arial"/>
        <i/>
        <color rgb="FFEFEFEF"/>
      </rPr>
      <t>-10 DR</t>
    </r>
    <r>
      <rPr>
        <rFont val="Arial"/>
        <color rgb="FFEFEFEF"/>
      </rPr>
      <t>. This debuff is decreased by 2 for each Enrage counter the user has (minimum 0).</t>
    </r>
  </si>
  <si>
    <t>Pestilent Strike</t>
  </si>
  <si>
    <t>Bushido</t>
  </si>
  <si>
    <t>If the user has at least one Enrage counter, this move can be used while sealed and they are cleansed from any statuses and debuffs (before accuracy). If they have two counters, the user can choose for this move to be AoE/Foes/Burst 1. If they have 3, this move can be Burst 2.</t>
  </si>
  <si>
    <t>Rising Sun</t>
  </si>
  <si>
    <r>
      <t xml:space="preserve"> If the user heals 4+ HP from this move, it inflicts -</t>
    </r>
    <r>
      <rPr>
        <rFont val="Arial"/>
        <i/>
        <color rgb="FFEFEFEF"/>
      </rPr>
      <t>3 Evasions/1</t>
    </r>
    <r>
      <rPr>
        <rFont val="Arial"/>
        <color rgb="FFEFEFEF"/>
      </rPr>
      <t>.</t>
    </r>
  </si>
  <si>
    <t>Coup de Grâce</t>
  </si>
  <si>
    <t>The user gains a Shield equal to X% of this attack's damage, where X is 10 times the amount of Enrage counters the user has.</t>
  </si>
  <si>
    <t>Delirium Slash</t>
  </si>
  <si>
    <r>
      <rPr>
        <rFont val="Arial"/>
        <color rgb="FFEFEFEF"/>
      </rPr>
      <t xml:space="preserve">If this kills a target, the user heals 10 HP and gains </t>
    </r>
    <r>
      <rPr>
        <rFont val="Arial"/>
        <color rgb="FFEFEFEF"/>
        <u/>
      </rPr>
      <t>+5 damage</t>
    </r>
    <r>
      <rPr>
        <rFont val="Arial"/>
        <color rgb="FFEFEFEF"/>
      </rPr>
      <t xml:space="preserve"> to their next attack.</t>
    </r>
  </si>
  <si>
    <t>2d8+2</t>
  </si>
  <si>
    <t>Wither Soul</t>
  </si>
  <si>
    <t>This attack has doubled bonus dice from Fallen Blade, but the user takes recoil equal to the extra bonus dice rolled. If the recoil would kill the user, they are left at 1 HP instead.</t>
  </si>
  <si>
    <t>Giant Slayer</t>
  </si>
  <si>
    <t>For each target hit that is currently under a debuff, this deals an additional 3 damage and the user heals 3 HP.</t>
  </si>
  <si>
    <t>Hades's Toll</t>
  </si>
  <si>
    <r>
      <rPr>
        <rFont val="Arial"/>
        <color rgb="FFEFEFEF"/>
      </rPr>
      <t xml:space="preserve">If the target has at least 40 more HP than the user, Fallen Blade dice on this move are converted into </t>
    </r>
    <r>
      <rPr>
        <rFont val="Arial"/>
        <color rgb="FFEFEFEF"/>
      </rPr>
      <t>bonus damage equal to ten times the number of Enrage counters the user has</t>
    </r>
    <r>
      <rPr>
        <rFont val="Arial"/>
        <color rgb="FFEFEFEF"/>
      </rPr>
      <t>.</t>
    </r>
  </si>
  <si>
    <t>For two rounds, the user's Reaper's Touch heal is doubled for attacks against the target.</t>
  </si>
  <si>
    <t>Phantasmal Shield</t>
  </si>
  <si>
    <r>
      <rPr>
        <rFont val="Arial"/>
        <b/>
        <sz val="10.0"/>
      </rPr>
      <t xml:space="preserve">60 HP | 10 ATK | </t>
    </r>
    <r>
      <rPr>
        <rFont val="Arial"/>
        <b val="0"/>
        <i/>
        <sz val="10.0"/>
      </rPr>
      <t>9 MAG</t>
    </r>
    <r>
      <rPr>
        <rFont val="Arial"/>
        <b/>
        <sz val="10.0"/>
      </rPr>
      <t xml:space="preserve"> | 13 PD | 11 MD | 2 MP</t>
    </r>
  </si>
  <si>
    <t>For one round, the user heals 10% of the damage taken from all attacks.</t>
  </si>
  <si>
    <t>Memento Mori</t>
  </si>
  <si>
    <t>"A weapon centred on reacting to opponent's attacks, keeping both of you on your toes."</t>
  </si>
  <si>
    <t>4d8+7</t>
  </si>
  <si>
    <t>Point-in-Line</t>
  </si>
  <si>
    <t>Before accuracy, choose X between 1 and 3. This move has Delay-X, and Reaper's Touch heals the user X/8 of the damage dealt by this attack instead of 1/8.</t>
  </si>
  <si>
    <t>Spirit Break</t>
  </si>
  <si>
    <t>5d6+5</t>
  </si>
  <si>
    <r>
      <rPr>
        <rFont val="Arial"/>
        <color rgb="FFEFEFEF"/>
      </rPr>
      <t xml:space="preserve">The target is inflicted with </t>
    </r>
    <r>
      <rPr>
        <rFont val="Arial"/>
        <i/>
        <color rgb="FFEFEFEF"/>
      </rPr>
      <t>-3 DR/1</t>
    </r>
    <r>
      <rPr>
        <rFont val="Arial"/>
        <color rgb="FFEFEFEF"/>
      </rPr>
      <t xml:space="preserve">, and the user gains </t>
    </r>
    <r>
      <rPr>
        <rFont val="Arial"/>
        <color rgb="FFEFEFEF"/>
        <u/>
      </rPr>
      <t>+3 DMG/1</t>
    </r>
    <r>
      <rPr>
        <rFont val="Arial"/>
        <color rgb="FFEFEFEF"/>
      </rPr>
      <t>.</t>
    </r>
  </si>
  <si>
    <t>Phantom Blade</t>
  </si>
  <si>
    <t>This attack can be used even when sealed.</t>
  </si>
  <si>
    <t>Counter</t>
  </si>
  <si>
    <t>6d6+6</t>
  </si>
  <si>
    <t>1d6+5</t>
  </si>
  <si>
    <r>
      <rPr>
        <rFont val="Arial"/>
        <color rgb="FF000000"/>
      </rPr>
      <t xml:space="preserve">This may be used on a foe hitting the user in Melee range, after accuracy is rolled. The foe's attack </t>
    </r>
    <r>
      <rPr>
        <rFont val="Arial"/>
        <i/>
        <color rgb="FF000000"/>
      </rPr>
      <t>loses 3 damage</t>
    </r>
    <r>
      <rPr>
        <rFont val="Arial"/>
        <color rgb="FF000000"/>
      </rPr>
      <t xml:space="preserve"> (</t>
    </r>
    <r>
      <rPr>
        <rFont val="Arial"/>
        <i/>
        <color rgb="FF000000"/>
      </rPr>
      <t>5 damage</t>
    </r>
    <r>
      <rPr>
        <rFont val="Arial"/>
        <color rgb="FF000000"/>
      </rPr>
      <t xml:space="preserve"> if the user used Feint on their last turn). This move is immune to non-Rapier outside damage factors. Do not add ATK/MAG.</t>
    </r>
  </si>
  <si>
    <t>Thrust</t>
  </si>
  <si>
    <t>This move gains +damage equal to amount of HP the user has healed from Scythe abilities since the start of their last turn.</t>
  </si>
  <si>
    <t>The user moves to a cardinally adjacent space to the target. If the user cannot enter the target's Melee, they move as close to the target as possible. If the target was at full HP, they are inflicted with 5 Bleed/1.</t>
  </si>
  <si>
    <t>Deflect</t>
  </si>
  <si>
    <t>2d6+5</t>
  </si>
  <si>
    <r>
      <rPr>
        <rFont val="Arial"/>
        <color rgb="FF000000"/>
      </rPr>
      <t xml:space="preserve">This may be used on a foe attacking the user from range, after accuracy is rolled. The user gains </t>
    </r>
    <r>
      <rPr>
        <rFont val="Arial"/>
        <color rgb="FF000000"/>
        <u/>
      </rPr>
      <t>+2 DR</t>
    </r>
    <r>
      <rPr>
        <rFont val="Arial"/>
        <color rgb="FF000000"/>
      </rPr>
      <t xml:space="preserve"> (</t>
    </r>
    <r>
      <rPr>
        <rFont val="Arial"/>
        <color rgb="FF000000"/>
        <u/>
      </rPr>
      <t>+4 DR</t>
    </r>
    <r>
      <rPr>
        <rFont val="Arial"/>
        <color rgb="FF000000"/>
      </rPr>
      <t xml:space="preserve"> if the user is under the effects of En Garde) for the duration of the attack this is used on. This move is immune to non-Rapier outside damage factors. Do not add ATK/MAG.</t>
    </r>
  </si>
  <si>
    <t>Feint</t>
  </si>
  <si>
    <t>4d6+3</t>
  </si>
  <si>
    <r>
      <rPr>
        <rFont val="Arial"/>
        <color rgb="FF000000"/>
      </rPr>
      <t xml:space="preserve">The user's next Reaction deals an </t>
    </r>
    <r>
      <rPr>
        <rFont val="Arial"/>
        <color rgb="FF000000"/>
        <u/>
      </rPr>
      <t>additional 1d6+5 damage</t>
    </r>
    <r>
      <rPr>
        <rFont val="Arial"/>
        <color rgb="FF000000"/>
      </rPr>
      <t>.</t>
    </r>
  </si>
  <si>
    <t>En Garde</t>
  </si>
  <si>
    <r>
      <rPr>
        <rFont val="Arial"/>
        <color rgb="FF000000"/>
      </rPr>
      <t xml:space="preserve">For one round, the user gains </t>
    </r>
    <r>
      <rPr>
        <rFont val="Arial"/>
        <color rgb="FF000000"/>
        <u/>
      </rPr>
      <t>+5 DR</t>
    </r>
    <r>
      <rPr>
        <rFont val="Arial"/>
        <color rgb="FF000000"/>
      </rPr>
      <t xml:space="preserve"> and their Reaction moves become MR0.</t>
    </r>
  </si>
  <si>
    <t>Moulinet</t>
  </si>
  <si>
    <t>The user's Reaction abilities ignore evasions for one round.</t>
  </si>
  <si>
    <t>This may be used on a foe in Melee range that missed an attack on the user. This move is immune to non-Rapier outside damage factors. Do not add ATK/MAG.</t>
  </si>
  <si>
    <t>Patinando</t>
  </si>
  <si>
    <r>
      <rPr>
        <rFont val="Arial"/>
        <color rgb="FF000000"/>
      </rPr>
      <t xml:space="preserve">The user picks </t>
    </r>
    <r>
      <rPr>
        <rFont val="Arial"/>
        <b/>
        <color rgb="FF000000"/>
      </rPr>
      <t>Fast</t>
    </r>
    <r>
      <rPr>
        <rFont val="Arial"/>
        <color rgb="FF000000"/>
      </rPr>
      <t xml:space="preserve"> or </t>
    </r>
    <r>
      <rPr>
        <rFont val="Arial"/>
        <b/>
        <color rgb="FF000000"/>
      </rPr>
      <t>Slow</t>
    </r>
    <r>
      <rPr>
        <rFont val="Arial"/>
        <color rgb="FF000000"/>
      </rPr>
      <t xml:space="preserve">. </t>
    </r>
    <r>
      <rPr>
        <rFont val="Arial"/>
        <b/>
        <color rgb="FF000000"/>
      </rPr>
      <t>Fast</t>
    </r>
    <r>
      <rPr>
        <rFont val="Arial"/>
        <color rgb="FF000000"/>
      </rPr>
      <t xml:space="preserve">: The user gains </t>
    </r>
    <r>
      <rPr>
        <rFont val="Arial"/>
        <color rgb="FF000000"/>
        <u/>
      </rPr>
      <t>+2 EVA</t>
    </r>
    <r>
      <rPr>
        <rFont val="Arial"/>
        <color rgb="FF000000"/>
      </rPr>
      <t xml:space="preserve"> for one round. </t>
    </r>
    <r>
      <rPr>
        <rFont val="Arial"/>
        <b/>
        <color rgb="FF000000"/>
      </rPr>
      <t>Slow</t>
    </r>
    <r>
      <rPr>
        <rFont val="Arial"/>
        <color rgb="FF000000"/>
      </rPr>
      <t xml:space="preserve">: The user's next Reaction gives them </t>
    </r>
    <r>
      <rPr>
        <rFont val="Arial"/>
        <color rgb="FF000000"/>
        <u/>
      </rPr>
      <t>+10 DR</t>
    </r>
    <r>
      <rPr>
        <rFont val="Arial"/>
        <color rgb="FF000000"/>
      </rPr>
      <t xml:space="preserve"> for the duration of the attack it is used on.</t>
    </r>
  </si>
  <si>
    <t>Parry</t>
  </si>
  <si>
    <t>5d6+7</t>
  </si>
  <si>
    <t>This may be used when a foe targeting the user would deal 40+ damage (before damage reducing effects) on an attack that hits the user. This move is immune to non-Rapier outside damage factors. Do not add ATK/MAG.</t>
  </si>
  <si>
    <t>Fighter Abilities</t>
  </si>
  <si>
    <r>
      <rPr>
        <rFont val="Arial"/>
        <b/>
        <sz val="10.0"/>
      </rPr>
      <t xml:space="preserve">65 HP | 12 ATK | </t>
    </r>
    <r>
      <rPr>
        <rFont val="Arial"/>
        <b val="0"/>
        <i/>
        <sz val="10.0"/>
      </rPr>
      <t>5 MAG</t>
    </r>
    <r>
      <rPr>
        <rFont val="Arial"/>
        <b/>
        <sz val="10.0"/>
      </rPr>
      <t xml:space="preserve"> | 14 PD | 14 MD | 2 MP</t>
    </r>
  </si>
  <si>
    <t>"A weapon with two modes, allowing you to play both offense and defense."</t>
  </si>
  <si>
    <t>Heavy Abilities</t>
  </si>
  <si>
    <t>Stance Change</t>
  </si>
  <si>
    <r>
      <rPr>
        <rFont val="Arial"/>
        <b/>
        <sz val="10.0"/>
      </rPr>
      <t xml:space="preserve">60 HP | 19 ATK | </t>
    </r>
    <r>
      <rPr>
        <rFont val="Arial"/>
        <b val="0"/>
        <i/>
        <sz val="10.0"/>
      </rPr>
      <t>7 MAG</t>
    </r>
    <r>
      <rPr>
        <rFont val="Arial"/>
        <b/>
        <sz val="10.0"/>
      </rPr>
      <t xml:space="preserve"> | 11 PD | 11 MD | 1 MP</t>
    </r>
  </si>
  <si>
    <r>
      <rPr>
        <rFont val="Arial"/>
        <color rgb="FF000000"/>
      </rPr>
      <t>At the start of their turn, the user may choose to become "</t>
    </r>
    <r>
      <rPr>
        <rFont val="Arial"/>
        <b/>
        <color rgb="FF000000"/>
      </rPr>
      <t>Attack</t>
    </r>
    <r>
      <rPr>
        <rFont val="Arial"/>
        <color rgb="FF000000"/>
      </rPr>
      <t xml:space="preserve"> </t>
    </r>
    <r>
      <rPr>
        <rFont val="Arial"/>
        <b/>
        <color rgb="FF000000"/>
      </rPr>
      <t>Stance</t>
    </r>
    <r>
      <rPr>
        <rFont val="Arial"/>
        <color rgb="FF000000"/>
      </rPr>
      <t>", which grants +3 damage on attacks, "</t>
    </r>
    <r>
      <rPr>
        <rFont val="Arial"/>
        <b/>
        <color rgb="FF000000"/>
      </rPr>
      <t>Defense</t>
    </r>
    <r>
      <rPr>
        <rFont val="Arial"/>
        <color rgb="FF000000"/>
      </rPr>
      <t xml:space="preserve"> </t>
    </r>
    <r>
      <rPr>
        <rFont val="Arial"/>
        <b/>
        <color rgb="FF000000"/>
      </rPr>
      <t>Stance</t>
    </r>
    <r>
      <rPr>
        <rFont val="Arial"/>
        <color rgb="FF000000"/>
      </rPr>
      <t>", which grants +3 DR, or "</t>
    </r>
    <r>
      <rPr>
        <rFont val="Arial"/>
        <b/>
        <color rgb="FF000000"/>
      </rPr>
      <t>Neutral</t>
    </r>
    <r>
      <rPr>
        <rFont val="Arial"/>
        <color rgb="FF000000"/>
      </rPr>
      <t xml:space="preserve"> </t>
    </r>
    <r>
      <rPr>
        <rFont val="Arial"/>
        <b/>
        <color rgb="FF000000"/>
      </rPr>
      <t>Stance</t>
    </r>
    <r>
      <rPr>
        <rFont val="Arial"/>
        <color rgb="FF000000"/>
      </rPr>
      <t>". The user starts the game in "</t>
    </r>
    <r>
      <rPr>
        <rFont val="Arial"/>
        <b/>
        <color rgb="FF000000"/>
      </rPr>
      <t>Neutral</t>
    </r>
    <r>
      <rPr>
        <rFont val="Arial"/>
        <color rgb="FF000000"/>
      </rPr>
      <t xml:space="preserve"> </t>
    </r>
    <r>
      <rPr>
        <rFont val="Arial"/>
        <b/>
        <color rgb="FF000000"/>
      </rPr>
      <t>Stance</t>
    </r>
    <r>
      <rPr>
        <rFont val="Arial"/>
        <color rgb="FF000000"/>
      </rPr>
      <t>", which confers no bonuses.</t>
    </r>
  </si>
  <si>
    <t>"A simple weapon, with the highest ATK, but low accuracy and range."</t>
  </si>
  <si>
    <t>Flowing Strike</t>
  </si>
  <si>
    <t>Bloodlust</t>
  </si>
  <si>
    <t>Whenever the user deals 15+ damage with an attack, or takes 15+ damage from a foe's attack, they gain 1 Rage stack.</t>
  </si>
  <si>
    <t>Feral Chop</t>
  </si>
  <si>
    <r>
      <t xml:space="preserve">If the user is in </t>
    </r>
    <r>
      <rPr>
        <rFont val="Arial"/>
        <b/>
        <color rgb="FF000000"/>
      </rPr>
      <t>Attack</t>
    </r>
    <r>
      <rPr>
        <rFont val="Arial"/>
        <color rgb="FF000000"/>
      </rPr>
      <t xml:space="preserve"> </t>
    </r>
    <r>
      <rPr>
        <rFont val="Arial"/>
        <b/>
        <color rgb="FF000000"/>
      </rPr>
      <t>Stance</t>
    </r>
    <r>
      <rPr>
        <rFont val="Arial"/>
        <color rgb="FF000000"/>
      </rPr>
      <t xml:space="preserve">, this move is Range 4, and targets 1 Foe. If the user is in </t>
    </r>
    <r>
      <rPr>
        <rFont val="Arial"/>
        <b/>
        <color rgb="FF000000"/>
      </rPr>
      <t>Defense</t>
    </r>
    <r>
      <rPr>
        <rFont val="Arial"/>
        <color rgb="FF000000"/>
      </rPr>
      <t xml:space="preserve"> </t>
    </r>
    <r>
      <rPr>
        <rFont val="Arial"/>
        <b/>
        <color rgb="FF000000"/>
      </rPr>
      <t>Stance</t>
    </r>
    <r>
      <rPr>
        <rFont val="Arial"/>
        <color rgb="FF000000"/>
      </rPr>
      <t xml:space="preserve">, this move is Burst 1 and AoE. If the user is in both </t>
    </r>
    <r>
      <rPr>
        <rFont val="Arial"/>
        <b/>
        <color rgb="FF000000"/>
      </rPr>
      <t>Attack</t>
    </r>
    <r>
      <rPr>
        <rFont val="Arial"/>
        <color rgb="FF000000"/>
      </rPr>
      <t xml:space="preserve"> and </t>
    </r>
    <r>
      <rPr>
        <rFont val="Arial"/>
        <b/>
        <color rgb="FF000000"/>
      </rPr>
      <t>Defense</t>
    </r>
    <r>
      <rPr>
        <rFont val="Arial"/>
        <color rgb="FF000000"/>
      </rPr>
      <t xml:space="preserve"> </t>
    </r>
    <r>
      <rPr>
        <rFont val="Arial"/>
        <b/>
        <color rgb="FF000000"/>
      </rPr>
      <t>Stance</t>
    </r>
    <r>
      <rPr>
        <rFont val="Arial"/>
        <color rgb="FF000000"/>
      </rPr>
      <t>, this attack is Range 4 and has Splash 1.</t>
    </r>
  </si>
  <si>
    <t>Sweep</t>
  </si>
  <si>
    <t>This inflicts +1 damage for each Rage stack the user has.</t>
  </si>
  <si>
    <r>
      <t xml:space="preserve">If the user is in </t>
    </r>
    <r>
      <rPr>
        <rFont val="Arial"/>
        <b/>
        <color rgb="FF000000"/>
      </rPr>
      <t>Attack</t>
    </r>
    <r>
      <rPr>
        <rFont val="Arial"/>
        <color rgb="FF000000"/>
      </rPr>
      <t xml:space="preserve"> </t>
    </r>
    <r>
      <rPr>
        <rFont val="Arial"/>
        <b/>
        <color rgb="FF000000"/>
      </rPr>
      <t>Stance</t>
    </r>
    <r>
      <rPr>
        <rFont val="Arial"/>
        <color rgb="FF000000"/>
      </rPr>
      <t xml:space="preserve">, this attack inflicts </t>
    </r>
    <r>
      <rPr>
        <rFont val="Arial"/>
        <i/>
        <color rgb="FF000000"/>
      </rPr>
      <t>-2 Evasions/1</t>
    </r>
    <r>
      <rPr>
        <rFont val="Arial"/>
        <color rgb="FF000000"/>
      </rPr>
      <t xml:space="preserve">. If the user is in </t>
    </r>
    <r>
      <rPr>
        <rFont val="Arial"/>
        <b/>
        <color rgb="FF000000"/>
      </rPr>
      <t>Defense</t>
    </r>
    <r>
      <rPr>
        <rFont val="Arial"/>
        <color rgb="FF000000"/>
      </rPr>
      <t xml:space="preserve"> </t>
    </r>
    <r>
      <rPr>
        <rFont val="Arial"/>
        <b/>
        <color rgb="FF000000"/>
      </rPr>
      <t>Stance</t>
    </r>
    <r>
      <rPr>
        <rFont val="Arial"/>
        <color rgb="FF000000"/>
      </rPr>
      <t xml:space="preserve">, the user gains </t>
    </r>
    <r>
      <rPr>
        <rFont val="Arial"/>
        <color rgb="FF000000"/>
        <u/>
      </rPr>
      <t>+2 Evasions/1</t>
    </r>
    <r>
      <rPr>
        <rFont val="Arial"/>
        <color rgb="FF000000"/>
      </rPr>
      <t>.</t>
    </r>
  </si>
  <si>
    <t>Chain Axe</t>
  </si>
  <si>
    <t>Whirlwind</t>
  </si>
  <si>
    <t>Line 4
(Pull 3)</t>
  </si>
  <si>
    <r>
      <t xml:space="preserve">If the user is in </t>
    </r>
    <r>
      <rPr>
        <rFont val="Arial"/>
        <b/>
        <color rgb="FF000000"/>
      </rPr>
      <t>Attack</t>
    </r>
    <r>
      <rPr>
        <rFont val="Arial"/>
        <color rgb="FF000000"/>
      </rPr>
      <t xml:space="preserve"> </t>
    </r>
    <r>
      <rPr>
        <rFont val="Arial"/>
        <b/>
        <color rgb="FF000000"/>
      </rPr>
      <t>Stance</t>
    </r>
    <r>
      <rPr>
        <rFont val="Arial"/>
        <color rgb="FF000000"/>
      </rPr>
      <t xml:space="preserve">, the foe is pushed back 3 spaces. If the user is in </t>
    </r>
    <r>
      <rPr>
        <rFont val="Arial"/>
        <b/>
        <color rgb="FF000000"/>
      </rPr>
      <t>Defense</t>
    </r>
    <r>
      <rPr>
        <rFont val="Arial"/>
        <color rgb="FF000000"/>
      </rPr>
      <t xml:space="preserve"> </t>
    </r>
    <r>
      <rPr>
        <rFont val="Arial"/>
        <b/>
        <color rgb="FF000000"/>
      </rPr>
      <t>Stance</t>
    </r>
    <r>
      <rPr>
        <rFont val="Arial"/>
        <color rgb="FF000000"/>
      </rPr>
      <t xml:space="preserve">, the user is pushed back 3 spaces. If the user is in </t>
    </r>
    <r>
      <rPr>
        <rFont val="Arial"/>
        <b/>
        <color rgb="FF000000"/>
      </rPr>
      <t>Neutral</t>
    </r>
    <r>
      <rPr>
        <rFont val="Arial"/>
        <color rgb="FF000000"/>
      </rPr>
      <t xml:space="preserve"> </t>
    </r>
    <r>
      <rPr>
        <rFont val="Arial"/>
        <b/>
        <color rgb="FF000000"/>
      </rPr>
      <t>Stance</t>
    </r>
    <r>
      <rPr>
        <rFont val="Arial"/>
        <color rgb="FF000000"/>
      </rPr>
      <t>, the user and target are pushed back 1 space each.</t>
    </r>
  </si>
  <si>
    <t>The user gains an additional stack of Rage from this attack.</t>
  </si>
  <si>
    <t>Steady Strike</t>
  </si>
  <si>
    <t>The user may spend any number of Rage. This move's MR is lowered by 1 for every stack of Rage spent.</t>
  </si>
  <si>
    <t>Brutal Strike</t>
  </si>
  <si>
    <r>
      <t xml:space="preserve">Before accuracy, if the user is in </t>
    </r>
    <r>
      <rPr>
        <rFont val="Arial"/>
        <b/>
        <color rgb="FF000000"/>
      </rPr>
      <t>Attack</t>
    </r>
    <r>
      <rPr>
        <rFont val="Arial"/>
        <color rgb="FF000000"/>
      </rPr>
      <t xml:space="preserve"> </t>
    </r>
    <r>
      <rPr>
        <rFont val="Arial"/>
        <b/>
        <color rgb="FF000000"/>
      </rPr>
      <t>Stance</t>
    </r>
    <r>
      <rPr>
        <rFont val="Arial"/>
        <color rgb="FF000000"/>
      </rPr>
      <t xml:space="preserve">, both the user's and the target's debuffs are removed, if the user is in </t>
    </r>
    <r>
      <rPr>
        <rFont val="Arial"/>
        <b/>
        <color rgb="FF000000"/>
      </rPr>
      <t>Defense</t>
    </r>
    <r>
      <rPr>
        <rFont val="Arial"/>
        <color rgb="FF000000"/>
      </rPr>
      <t xml:space="preserve"> </t>
    </r>
    <r>
      <rPr>
        <rFont val="Arial"/>
        <b/>
        <color rgb="FF000000"/>
      </rPr>
      <t>Stance</t>
    </r>
    <r>
      <rPr>
        <rFont val="Arial"/>
        <color rgb="FF000000"/>
      </rPr>
      <t xml:space="preserve">, both the user's and the target's buffs (including stance effects) are removed, and if the user is in </t>
    </r>
    <r>
      <rPr>
        <rFont val="Arial"/>
        <b/>
        <color rgb="FF000000"/>
      </rPr>
      <t>Neutral</t>
    </r>
    <r>
      <rPr>
        <rFont val="Arial"/>
        <color rgb="FF000000"/>
      </rPr>
      <t xml:space="preserve"> </t>
    </r>
    <r>
      <rPr>
        <rFont val="Arial"/>
        <b/>
        <color rgb="FF000000"/>
      </rPr>
      <t xml:space="preserve">Stance, </t>
    </r>
    <r>
      <rPr>
        <rFont val="Arial"/>
        <color rgb="FF000000"/>
      </rPr>
      <t>the user's debuffs and the target's buffs are removed.</t>
    </r>
  </si>
  <si>
    <t>Impeding Grip</t>
  </si>
  <si>
    <t>The user may consume stacks of Rage. For every stack consumed, this attack gains +2 critical hit range.</t>
  </si>
  <si>
    <t>Sever</t>
  </si>
  <si>
    <t>The user may spend stacks of Rage. For every stack consumed up to 4, this attack gains +1 hit. For every two stacks consumed beyond that, this attack gains +1 hit.</t>
  </si>
  <si>
    <t>Vindictive</t>
  </si>
  <si>
    <r>
      <t xml:space="preserve">If the user is in </t>
    </r>
    <r>
      <rPr>
        <rFont val="Arial"/>
        <b/>
        <color rgb="FF000000"/>
      </rPr>
      <t>Attack</t>
    </r>
    <r>
      <rPr>
        <rFont val="Arial"/>
        <color rgb="FF000000"/>
      </rPr>
      <t xml:space="preserve"> </t>
    </r>
    <r>
      <rPr>
        <rFont val="Arial"/>
        <b/>
        <color rgb="FF000000"/>
      </rPr>
      <t>Stance</t>
    </r>
    <r>
      <rPr>
        <rFont val="Arial"/>
        <color rgb="FF000000"/>
      </rPr>
      <t xml:space="preserve">, the user's attacks have +2 range this turn, and if the user is in </t>
    </r>
    <r>
      <rPr>
        <rFont val="Arial"/>
        <b/>
        <color rgb="FF000000"/>
      </rPr>
      <t>Defense</t>
    </r>
    <r>
      <rPr>
        <rFont val="Arial"/>
        <color rgb="FF000000"/>
      </rPr>
      <t xml:space="preserve"> </t>
    </r>
    <r>
      <rPr>
        <rFont val="Arial"/>
        <b/>
        <color rgb="FF000000"/>
      </rPr>
      <t>Stance</t>
    </r>
    <r>
      <rPr>
        <rFont val="Arial"/>
        <color rgb="FF000000"/>
      </rPr>
      <t>, attacks that would target the user have -2 range for one round.</t>
    </r>
  </si>
  <si>
    <t>The user gains two stacks of Rage every time they kill a foe.</t>
  </si>
  <si>
    <t>Reprisal</t>
  </si>
  <si>
    <t>Wide Slash</t>
  </si>
  <si>
    <t>Regal Abilities</t>
  </si>
  <si>
    <r>
      <t xml:space="preserve">If the user is in </t>
    </r>
    <r>
      <rPr>
        <rFont val="Arial"/>
        <b/>
        <color rgb="FF000000"/>
      </rPr>
      <t>Attack</t>
    </r>
    <r>
      <rPr>
        <rFont val="Arial"/>
        <color rgb="FF000000"/>
      </rPr>
      <t xml:space="preserve"> </t>
    </r>
    <r>
      <rPr>
        <rFont val="Arial"/>
        <b/>
        <color rgb="FF000000"/>
      </rPr>
      <t>Stance</t>
    </r>
    <r>
      <rPr>
        <rFont val="Arial"/>
        <color rgb="FF000000"/>
      </rPr>
      <t xml:space="preserve">, their next attack against the target deals an additional </t>
    </r>
    <r>
      <rPr>
        <rFont val="Arial"/>
        <color rgb="FF000000"/>
        <u/>
      </rPr>
      <t>1d8+9 damage.</t>
    </r>
    <r>
      <rPr>
        <rFont val="Arial"/>
        <color rgb="FF000000"/>
      </rPr>
      <t xml:space="preserve"> If </t>
    </r>
    <r>
      <rPr>
        <rFont val="Arial"/>
        <color rgb="FF000000"/>
      </rPr>
      <t xml:space="preserve">the user is in </t>
    </r>
    <r>
      <rPr>
        <rFont val="Arial"/>
        <b/>
        <color rgb="FF000000"/>
      </rPr>
      <t>Defense</t>
    </r>
    <r>
      <rPr>
        <rFont val="Arial"/>
        <color rgb="FF000000"/>
      </rPr>
      <t xml:space="preserve"> </t>
    </r>
    <r>
      <rPr>
        <rFont val="Arial"/>
        <b/>
        <color rgb="FF000000"/>
      </rPr>
      <t>Stance</t>
    </r>
    <r>
      <rPr>
        <rFont val="Arial"/>
        <color rgb="FF000000"/>
      </rPr>
      <t xml:space="preserve">, the user gains a 1d8+9 shield. </t>
    </r>
  </si>
  <si>
    <t>The user may spend two Rage stacks to make this attack Cone 2.</t>
  </si>
  <si>
    <t>Defiance</t>
  </si>
  <si>
    <t>Gash</t>
  </si>
  <si>
    <t>Sorcerer Abilities</t>
  </si>
  <si>
    <r>
      <t xml:space="preserve">If the user is in </t>
    </r>
    <r>
      <rPr>
        <rFont val="Arial"/>
        <b/>
        <color rgb="FF000000"/>
      </rPr>
      <t>Attack</t>
    </r>
    <r>
      <rPr>
        <rFont val="Arial"/>
        <color rgb="FF000000"/>
      </rPr>
      <t xml:space="preserve"> </t>
    </r>
    <r>
      <rPr>
        <rFont val="Arial"/>
        <b/>
        <color rgb="FF000000"/>
      </rPr>
      <t>Stance</t>
    </r>
    <r>
      <rPr>
        <rFont val="Arial"/>
        <color rgb="FF000000"/>
      </rPr>
      <t xml:space="preserve">, their accuracy rolls gain Advantage; if the user is in </t>
    </r>
    <r>
      <rPr>
        <rFont val="Arial"/>
        <b/>
        <color rgb="FF000000"/>
      </rPr>
      <t>Defense</t>
    </r>
    <r>
      <rPr>
        <rFont val="Arial"/>
        <color rgb="FF000000"/>
      </rPr>
      <t xml:space="preserve"> </t>
    </r>
    <r>
      <rPr>
        <rFont val="Arial"/>
        <b/>
        <color rgb="FF000000"/>
      </rPr>
      <t>Stance</t>
    </r>
    <r>
      <rPr>
        <rFont val="Arial"/>
        <color rgb="FF000000"/>
      </rPr>
      <t>, accuracy rolls against them gain Disadvantage. Both effects last until the start of the user's next turn. If in both stances, the user may choose which effect to gain. The user may not have both effects at once.</t>
    </r>
  </si>
  <si>
    <t>Crown</t>
  </si>
  <si>
    <t>Volatile Swing</t>
  </si>
  <si>
    <t>The target is inflicted with Bleed 5/1. The user may consume up to two stacks of Rage when they use this attack, before accuracy. For every stack consumed, the bleed lasts an additional round.</t>
  </si>
  <si>
    <t>Franciscate</t>
  </si>
  <si>
    <t>3d10+3</t>
  </si>
  <si>
    <r>
      <rPr>
        <rFont val="Arial"/>
        <b/>
        <sz val="10.0"/>
      </rPr>
      <t xml:space="preserve">70 HP | 12 ATK | </t>
    </r>
    <r>
      <rPr>
        <rFont val="Arial"/>
        <b val="0"/>
        <i/>
        <sz val="10.0"/>
      </rPr>
      <t>4 MAG</t>
    </r>
    <r>
      <rPr>
        <rFont val="Arial"/>
        <b/>
        <sz val="10.0"/>
      </rPr>
      <t xml:space="preserve"> | 14 PD | 14 MD | 2 MP</t>
    </r>
  </si>
  <si>
    <t>Shillelagh</t>
  </si>
  <si>
    <t>The user is inflicted with Seal/1. They may spend 1 stack before accuracy to negate this status.</t>
  </si>
  <si>
    <t>"A pure defense weapon focusing on shields."</t>
  </si>
  <si>
    <t>Amped Strike</t>
  </si>
  <si>
    <r>
      <t xml:space="preserve">If the user is in </t>
    </r>
    <r>
      <rPr>
        <rFont val="Arial"/>
        <b/>
        <color rgb="FF000000"/>
      </rPr>
      <t>Attack</t>
    </r>
    <r>
      <rPr>
        <rFont val="Arial"/>
        <color rgb="FF000000"/>
      </rPr>
      <t xml:space="preserve"> </t>
    </r>
    <r>
      <rPr>
        <rFont val="Arial"/>
        <b/>
        <color rgb="FF000000"/>
      </rPr>
      <t>Stance</t>
    </r>
    <r>
      <rPr>
        <rFont val="Arial"/>
        <color rgb="FF000000"/>
      </rPr>
      <t xml:space="preserve">, this move has bomb dice. If the user is in </t>
    </r>
    <r>
      <rPr>
        <rFont val="Arial"/>
        <b/>
        <color rgb="FF000000"/>
      </rPr>
      <t>Defense</t>
    </r>
    <r>
      <rPr>
        <rFont val="Arial"/>
        <color rgb="FF000000"/>
      </rPr>
      <t xml:space="preserve"> </t>
    </r>
    <r>
      <rPr>
        <rFont val="Arial"/>
        <b/>
        <color rgb="FF000000"/>
      </rPr>
      <t>Stance</t>
    </r>
    <r>
      <rPr>
        <rFont val="Arial"/>
        <color rgb="FF000000"/>
      </rPr>
      <t>, the opponent has inverse bomb dice (the attack affected rolls bomb, but the extra rolls of bomb are instead deducted from the total damage of the attack) for two rounds.</t>
    </r>
  </si>
  <si>
    <t>Reverse Strike</t>
  </si>
  <si>
    <t>Brave Leader</t>
  </si>
  <si>
    <t>65 HP | 13 ATK | 13 MAG | 10 PD | 10 MD | 1 MP</t>
  </si>
  <si>
    <t>Melee
(Splash 1)</t>
  </si>
  <si>
    <t>This attack deals an additional X damage, where X = the number of Rage stacks the user has * 4. On a hit, the user then loses all of their Rage stacks.</t>
  </si>
  <si>
    <t>3d8+12</t>
  </si>
  <si>
    <t>"Manipulates and paints the map!" (Shi-lay-lee)</t>
  </si>
  <si>
    <t>Terraform</t>
  </si>
  <si>
    <r>
      <t xml:space="preserve">The user is locked into their current stance, and their stance's bonus is inverted, for one round. This move cannot be used in </t>
    </r>
    <r>
      <rPr>
        <rFont val="Arial"/>
        <b/>
        <color rgb="FF000000"/>
      </rPr>
      <t>Neutral</t>
    </r>
    <r>
      <rPr>
        <rFont val="Arial"/>
        <color rgb="FF000000"/>
      </rPr>
      <t xml:space="preserve"> </t>
    </r>
    <r>
      <rPr>
        <rFont val="Arial"/>
        <b/>
        <color rgb="FF000000"/>
      </rPr>
      <t>Stance</t>
    </r>
    <r>
      <rPr>
        <rFont val="Arial"/>
        <color rgb="FF000000"/>
      </rPr>
      <t>.</t>
    </r>
  </si>
  <si>
    <t>Martial Art</t>
  </si>
  <si>
    <r>
      <rPr>
        <rFont val="Arial"/>
        <b/>
        <sz val="10.0"/>
      </rPr>
      <t xml:space="preserve">70 HP | 15 ATK | </t>
    </r>
    <r>
      <rPr>
        <rFont val="Arial"/>
        <b val="0"/>
        <i/>
        <sz val="10.0"/>
      </rPr>
      <t>7 MAG</t>
    </r>
    <r>
      <rPr>
        <rFont val="Arial"/>
        <b/>
        <sz val="10.0"/>
      </rPr>
      <t xml:space="preserve"> | 19 PD | 8 MD | 1 MP</t>
    </r>
  </si>
  <si>
    <t>"A weapon with many attacks that allow it to hit multiple foes at once."</t>
  </si>
  <si>
    <r>
      <rPr>
        <rFont val="Arial"/>
        <color rgb="FF000000"/>
      </rPr>
      <t xml:space="preserve">Starting after the accuracy roll, the user is in both </t>
    </r>
    <r>
      <rPr>
        <rFont val="Arial"/>
        <b/>
        <color rgb="FF000000"/>
      </rPr>
      <t>Attack</t>
    </r>
    <r>
      <rPr>
        <rFont val="Arial"/>
        <color rgb="FF000000"/>
      </rPr>
      <t xml:space="preserve"> and </t>
    </r>
    <r>
      <rPr>
        <rFont val="Arial"/>
        <b/>
        <color rgb="FF000000"/>
      </rPr>
      <t>Defense</t>
    </r>
    <r>
      <rPr>
        <rFont val="Arial"/>
        <color rgb="FF000000"/>
      </rPr>
      <t xml:space="preserve"> </t>
    </r>
    <r>
      <rPr>
        <rFont val="Arial"/>
        <b/>
        <color rgb="FF000000"/>
      </rPr>
      <t>Stance</t>
    </r>
    <r>
      <rPr>
        <rFont val="Arial"/>
        <color rgb="FF000000"/>
      </rPr>
      <t xml:space="preserve"> for one round. When using a move with different effects depending on the user's stance, both effects apply, unless specified.</t>
    </r>
  </si>
  <si>
    <t>Cone 1 or
Line 3</t>
  </si>
  <si>
    <t>Cyclone Sweep</t>
  </si>
  <si>
    <t>The user sacrifices 5 HP to gain the roll as a Shield that lasts until the start of their next turn. This cannot be used if the user already has a Shield from Brave Leader. Effects that depend on the user having a Shield from Brave Leader last only until the Shield expires or is broken.</t>
  </si>
  <si>
    <t>Select Cone 1 or Line 3 (cannot be diagonal). The user places up to three Forest or Water tiles in range (cannot replace obstructions).</t>
  </si>
  <si>
    <t>Rototill</t>
  </si>
  <si>
    <t>Engage</t>
  </si>
  <si>
    <t>Xd10+7</t>
  </si>
  <si>
    <r>
      <rPr>
        <rFont val="Arial"/>
        <b/>
        <sz val="10.0"/>
      </rPr>
      <t xml:space="preserve">65 HP | 11 ATK | </t>
    </r>
    <r>
      <rPr>
        <rFont val="Arial"/>
        <b val="0"/>
        <i/>
        <sz val="10.0"/>
      </rPr>
      <t>4 MAG</t>
    </r>
    <r>
      <rPr>
        <rFont val="Arial"/>
        <b/>
        <sz val="10.0"/>
      </rPr>
      <t xml:space="preserve"> | 9 PD | 9 MD | 3 MP</t>
    </r>
  </si>
  <si>
    <t>X = 1 + the number of targets hit.</t>
  </si>
  <si>
    <t>"A bleed-focused weapon that has the weakest abilities, but can attack twice every turn!"</t>
  </si>
  <si>
    <t>Storm Strike</t>
  </si>
  <si>
    <t>If the target is on a non-Normal tile, this attack loses Pull 3 but gains +1 ACC and +1 dice.</t>
  </si>
  <si>
    <t>Blackthorn</t>
  </si>
  <si>
    <t>If the user has a Shield from Brave Leader, they heal for half of the Shield's value.</t>
  </si>
  <si>
    <t>4d4+5</t>
  </si>
  <si>
    <t>Before damage, positive tile effects are inverted on targets for one round. Damage on targets (except the original) ignores negative outside factors to damage. The user chooses whether this attack is Physical or Magical.</t>
  </si>
  <si>
    <t>Ambush</t>
  </si>
  <si>
    <t>Windstorm</t>
  </si>
  <si>
    <t>1d12+8</t>
  </si>
  <si>
    <t>Cone 2
(Push 1)</t>
  </si>
  <si>
    <t>Targets are pushed in the direction of the cone. Within range, the user may place either: 4 Air, 4 Sticky, or 1 Boost tile(s). There can only be one instance of Windstorm-generated tiles on the map from the user and allies at any one time. This may be used as a non-damaging Standard targeting only tiles in range.</t>
  </si>
  <si>
    <t>Bioturbation</t>
  </si>
  <si>
    <t>2d6+1</t>
  </si>
  <si>
    <r>
      <rPr>
        <rFont val="Arial"/>
        <color rgb="FFEFEFEF"/>
      </rPr>
      <t xml:space="preserve">If the user has a Shield from Brave Leader, attacks targeting the user </t>
    </r>
    <r>
      <rPr>
        <rFont val="Arial"/>
        <i/>
        <color rgb="FFEFEFEF"/>
      </rPr>
      <t>lose 1 dice</t>
    </r>
    <r>
      <rPr>
        <rFont val="Arial"/>
        <color rgb="FFEFEFEF"/>
      </rPr>
      <t>. Otherwise, this attack has +1 dice.</t>
    </r>
  </si>
  <si>
    <t>3d6+5</t>
  </si>
  <si>
    <t>Diversion</t>
  </si>
  <si>
    <t>The user moves as close to the original target as possible, and the original target is Slowed/1.</t>
  </si>
  <si>
    <t>Hammerang</t>
  </si>
  <si>
    <t>The target is inflicted with 3 Bleed/1. This bleed is unremovable.</t>
  </si>
  <si>
    <r>
      <rPr>
        <rFont val="Arial"/>
      </rPr>
      <t xml:space="preserve">If the user is on a non-Normal tile, they may move to a tile of the same type within their Range 6. This cannot move you further away from the target, and may pass through players. Players passed through gain </t>
    </r>
    <r>
      <rPr>
        <rFont val="Arial"/>
        <i/>
      </rPr>
      <t>-5 DR</t>
    </r>
    <r>
      <rPr>
        <rFont val="Arial"/>
      </rPr>
      <t xml:space="preserve"> for one round.</t>
    </r>
  </si>
  <si>
    <t>Animal Instinct</t>
  </si>
  <si>
    <t>Bloom</t>
  </si>
  <si>
    <r>
      <rPr>
        <rFont val="Arial"/>
        <color rgb="FFEFEFEF"/>
      </rPr>
      <t xml:space="preserve">If the user has a Shield from Brave Leader, they have </t>
    </r>
    <r>
      <rPr>
        <rFont val="Arial"/>
        <color rgb="FFEFEFEF"/>
        <u/>
      </rPr>
      <t>+2 EVA</t>
    </r>
    <r>
      <rPr>
        <rFont val="Arial"/>
        <color rgb="FFEFEFEF"/>
      </rPr>
      <t>.</t>
    </r>
  </si>
  <si>
    <t>For one round, Normal tiles in range grant +1 ACC to the user and allies and -3 DMG to foes. (This effect does not stack.)</t>
  </si>
  <si>
    <t>Bastion</t>
  </si>
  <si>
    <t>Gelid Wrath</t>
  </si>
  <si>
    <t>Pierce 3
(Double Hit)</t>
  </si>
  <si>
    <t>5d4+8</t>
  </si>
  <si>
    <t>Masonry</t>
  </si>
  <si>
    <t>This turn, Brave Leader generates +50% more Shield than usual.</t>
  </si>
  <si>
    <t>War of Attrition</t>
  </si>
  <si>
    <t>Pierce 5</t>
  </si>
  <si>
    <t>All unoccupied Water and Lava tiles in range become Ice for one round. The user cannot move through this Ice, and this can be used as a non-damaging Swift targetting only tiles in range. Foes who end their turn with at least one of these Ice tiles in their melee take 10 damage. This move converts the user's previously generated Ice to Normal, and the user may not generate Ice until the start of their next turn.</t>
  </si>
  <si>
    <t>When the user's Claws Standard resolves, they may immediately use a second Claws Standard (this second Standard does not trigger itself). These Standards only add 50% ATK (rounded up on the first). The second Standard is immune to outside (non-multiplier) damage factors.</t>
  </si>
  <si>
    <t>Wildfire</t>
  </si>
  <si>
    <t>Pounce</t>
  </si>
  <si>
    <t>The user creates a Stone tile on any unoccupied space in range. Stone tiles have 1 HP and 2/2 EVA, and may be attacked.</t>
  </si>
  <si>
    <t>2d4+3</t>
  </si>
  <si>
    <t>3d10+0</t>
  </si>
  <si>
    <t>The user moves as close to the target as possible. The user may choose to lose their next standard this turn to add their full ATK instead and increase range to 7.</t>
  </si>
  <si>
    <t>Crippling Slash</t>
  </si>
  <si>
    <r>
      <rPr>
        <rFont val="Arial"/>
      </rPr>
      <t xml:space="preserve">If the target's tile is Forest, that tile gains "Wildfire".
</t>
    </r>
    <r>
      <rPr>
        <rFont val="Arial"/>
        <b/>
      </rPr>
      <t>Wildfire</t>
    </r>
    <r>
      <rPr>
        <rFont val="Arial"/>
      </rPr>
      <t xml:space="preserve">: This property is unignorable. Inflicts 10 DMG and </t>
    </r>
    <r>
      <rPr>
        <rFont val="Arial"/>
        <i/>
      </rPr>
      <t>-1 EVA/1</t>
    </r>
    <r>
      <rPr>
        <rFont val="Arial"/>
      </rPr>
      <t xml:space="preserve"> on the start of an occupying player's turn. If there are Forest tiles cardinally adjacent to Wildfire, they also become Wildfire. This property ends after two rounds.</t>
    </r>
  </si>
  <si>
    <t>3d4+0</t>
  </si>
  <si>
    <t>If the user has a Shield from Brave Leader, foes who hit the user are immediately (before damage is dealt) inflicted 5 Bleed/1.</t>
  </si>
  <si>
    <t>Flower Crown</t>
  </si>
  <si>
    <t>Blockade</t>
  </si>
  <si>
    <r>
      <rPr>
        <rFont val="Arial"/>
        <color rgb="FF000000"/>
      </rPr>
      <t xml:space="preserve">The user's attacks against the target have </t>
    </r>
    <r>
      <rPr>
        <rFont val="Arial"/>
        <color rgb="FF000000"/>
        <u/>
      </rPr>
      <t>+2 ACC</t>
    </r>
    <r>
      <rPr>
        <rFont val="Arial"/>
        <color rgb="FF000000"/>
      </rPr>
      <t xml:space="preserve"> for one round.</t>
    </r>
  </si>
  <si>
    <t>1d4+3</t>
  </si>
  <si>
    <t>Melee
(Push 2)</t>
  </si>
  <si>
    <t>Fury Swipes</t>
  </si>
  <si>
    <t>This move has Push 2. If the target cannot be pushed the full distance, they take an additional 1d10+4 damage. This damage is also dealt to the obstruction if it is an entity.</t>
  </si>
  <si>
    <r>
      <rPr>
        <rFont val="Arial"/>
      </rPr>
      <t xml:space="preserve">Targets on Forest tiles gain </t>
    </r>
    <r>
      <rPr>
        <rFont val="Arial"/>
        <u/>
      </rPr>
      <t>+10% DMG/1</t>
    </r>
    <r>
      <rPr>
        <rFont val="Arial"/>
      </rPr>
      <t>, while targets on Water tiles heal 4d4 HP.</t>
    </r>
  </si>
  <si>
    <t>Nature's Madness</t>
  </si>
  <si>
    <t>Earth Render</t>
  </si>
  <si>
    <r>
      <rPr>
        <rFont val="Arial"/>
        <color rgb="FFEFEFEF"/>
      </rPr>
      <t xml:space="preserve">If the user has a Shield from Brave Leader, the user has </t>
    </r>
    <r>
      <rPr>
        <rFont val="Arial"/>
        <color rgb="FFEFEFEF"/>
        <u/>
      </rPr>
      <t>+1 MP</t>
    </r>
    <r>
      <rPr>
        <rFont val="Arial"/>
        <color rgb="FFEFEFEF"/>
      </rPr>
      <t xml:space="preserve"> and their Shield expires one turn later than it normally would. This move is immune to outside damage factors. Do not add ATK. </t>
    </r>
  </si>
  <si>
    <t>Divide et Impera</t>
  </si>
  <si>
    <r>
      <rPr>
        <rFont val="Arial"/>
      </rPr>
      <t xml:space="preserve">This move is immune to Air tiles, and is augmented depending on the number of certain tile types (X) in the user's Burst 1:
</t>
    </r>
    <r>
      <rPr>
        <rFont val="Arial"/>
        <b/>
      </rPr>
      <t>Air/Sticky/Boost</t>
    </r>
    <r>
      <rPr>
        <rFont val="Arial"/>
      </rPr>
      <t xml:space="preserve">: +X Range, Damage and Amount of Targets (max 3).
</t>
    </r>
    <r>
      <rPr>
        <rFont val="Arial"/>
        <b/>
      </rPr>
      <t>Forest/Water/Lava</t>
    </r>
    <r>
      <rPr>
        <rFont val="Arial"/>
      </rPr>
      <t>: Choose one tile type, and inflict X Bleed (Forest), Poison (Water), or Burn (Lava) / 1. If X&gt;3, then extend the status duration by one round.
After damage, convert utilised tiles to Normal.</t>
    </r>
  </si>
  <si>
    <t>Scorched Earth</t>
  </si>
  <si>
    <t>Range 3
(Push 1)</t>
  </si>
  <si>
    <t>After accuracy, tiles in the target's Star 1 become Lava tiles until the user dies. Lava from this move cannot be ignored, nor can entities take damage for entering more than once per turn.</t>
  </si>
  <si>
    <t>Within Splash 2 of the original target, the user replaces up to 3 unoccupied tiles with Broken tiles. These tiles revert after 3 rounds, until the user decides to remove them, or until the user dies.</t>
  </si>
  <si>
    <t xml:space="preserve">Swift </t>
  </si>
  <si>
    <t>Lagging Spin</t>
  </si>
  <si>
    <t>Melee
(Triple Hit)</t>
  </si>
  <si>
    <t>This move ignores outside negative damage factors.</t>
  </si>
  <si>
    <r>
      <rPr>
        <rFont val="Arial"/>
        <color rgb="FFEFEFEF"/>
      </rPr>
      <t xml:space="preserve">If the user has a Shield from Brave Leader, they lose the Shield to </t>
    </r>
    <r>
      <rPr>
        <rFont val="Arial"/>
        <color rgb="FFEFEFEF"/>
        <u/>
      </rPr>
      <t>gain an equivalent amount of DR for the rest of the Shield's duration</t>
    </r>
    <r>
      <rPr>
        <rFont val="Arial"/>
        <color rgb="FFEFEFEF"/>
      </rPr>
      <t>. For the purposes of the user's move effects, having this DR is considered as having a Shield from Brave Leader.</t>
    </r>
  </si>
  <si>
    <t>Close Combat</t>
  </si>
  <si>
    <t>War Cry</t>
  </si>
  <si>
    <r>
      <rPr>
        <rFont val="Arial"/>
        <b/>
        <sz val="10.0"/>
      </rPr>
      <t xml:space="preserve">60 HP | </t>
    </r>
    <r>
      <rPr>
        <rFont val="Arial"/>
        <b val="0"/>
        <i/>
        <sz val="10.0"/>
      </rPr>
      <t>4 ATK</t>
    </r>
    <r>
      <rPr>
        <rFont val="Arial"/>
        <b/>
        <sz val="10.0"/>
      </rPr>
      <t xml:space="preserve"> | 12 MAG | 7 PD | 27 MD | 1 MP</t>
    </r>
  </si>
  <si>
    <t>"A versatile weapon with many useful effects and debuffs."</t>
  </si>
  <si>
    <t>The user may select one target within range. This move gains extra dice equal to the target's MP minus the user's MP, but no less than 0. Max +3 dice.</t>
  </si>
  <si>
    <t>Fissure</t>
  </si>
  <si>
    <t>3d4+2</t>
  </si>
  <si>
    <t>Fireball</t>
  </si>
  <si>
    <t>If the user has a Shield from Brave Leader, allies in range gain a Shield of equal value that lasts for one round. This may be used as a non-damaging Standard.</t>
  </si>
  <si>
    <t>Shock and Awe</t>
  </si>
  <si>
    <t>If the user has a Shield from Brave Leader, attacks targeting them are immune to positive outside accuracy and damage factors.</t>
  </si>
  <si>
    <t>If used on the same turn as Fury Swipes, any bleed the target has is extended for another turn.</t>
  </si>
  <si>
    <t>Last Stand</t>
  </si>
  <si>
    <t>Gyre</t>
  </si>
  <si>
    <t>The target is Slowed/1. Foes in Pierce 3 behind the target take half the damage rolled and are Slowed/1.</t>
  </si>
  <si>
    <t>2d4+5</t>
  </si>
  <si>
    <t>Shockwave Slam</t>
  </si>
  <si>
    <t>On an accuracy roll of 16+, the target is inflicted with 3 Burn/1.</t>
  </si>
  <si>
    <t>Frost Hex</t>
  </si>
  <si>
    <t>The user gains a Shield/1 equal to the amount of Shield they have generated with Brave Leader before the start of this turn.</t>
  </si>
  <si>
    <t>Runes</t>
  </si>
  <si>
    <t>The user may choose to lose their second standard, but add their full ATK stat to this attack instead. If they do, this move's range is Cone 2 instead.</t>
  </si>
  <si>
    <t>Frenzy</t>
  </si>
  <si>
    <t>Melee
(Splash 2)</t>
  </si>
  <si>
    <t>All attacks on the target have +2 accuracy for one round.</t>
  </si>
  <si>
    <t xml:space="preserve"> The user pushes all foes within Burst 2 of the original target one space away from the original target.</t>
  </si>
  <si>
    <t>4d6+2</t>
  </si>
  <si>
    <t>Gravity Slam</t>
  </si>
  <si>
    <t>Lightning</t>
  </si>
  <si>
    <t>1d10+3</t>
  </si>
  <si>
    <t>4d10+8</t>
  </si>
  <si>
    <t>If the target is bleeding, this move has bomb dice.</t>
  </si>
  <si>
    <r>
      <rPr>
        <rFont val="Arial"/>
        <b/>
        <sz val="10.0"/>
      </rPr>
      <t xml:space="preserve">70 HP | </t>
    </r>
    <r>
      <rPr>
        <rFont val="Arial"/>
        <b val="0"/>
        <i/>
        <sz val="10.0"/>
      </rPr>
      <t>0 ATK</t>
    </r>
    <r>
      <rPr>
        <rFont val="Arial"/>
        <b/>
        <sz val="10.0"/>
      </rPr>
      <t xml:space="preserve"> | 5 MAG | 10 PD | 15 MD | 2 MP</t>
    </r>
  </si>
  <si>
    <t>Vengeance</t>
  </si>
  <si>
    <t>This move is immune to outside factors. Do not add MAG.</t>
  </si>
  <si>
    <t>Before accuracy, the user may choose an entity within Splash 2 and pull into any tile in Splash 1. This pull ignores the user.</t>
  </si>
  <si>
    <t>2d4+0</t>
  </si>
  <si>
    <t>Tomahawk</t>
  </si>
  <si>
    <t>Homing 8</t>
  </si>
  <si>
    <t>"Inflict your opponents with persistent damage over time."</t>
  </si>
  <si>
    <r>
      <rPr>
        <rFont val="Arial"/>
        <i/>
        <color rgb="FFEFEFEF"/>
      </rPr>
      <t>Targets' ranged attacks have halved range</t>
    </r>
    <r>
      <rPr>
        <rFont val="Arial"/>
        <color rgb="FFEFEFEF"/>
      </rPr>
      <t xml:space="preserve"> (rounded up) until the end of their next turn. This ability only adds half MAG.</t>
    </r>
  </si>
  <si>
    <t>Faith</t>
  </si>
  <si>
    <t>If the user's previous standard missed, inflict (or, if already bleeding, increase to) unremovable bleed on the target to 10/1 and its effect to -10 damage.</t>
  </si>
  <si>
    <t>Heartseek</t>
  </si>
  <si>
    <t>Xd8+0</t>
  </si>
  <si>
    <t>Echoes of Time</t>
  </si>
  <si>
    <t>The target heals the amount rolled the next two times their turn ends.</t>
  </si>
  <si>
    <t>Sandstorm</t>
  </si>
  <si>
    <t>This move has X dice, where X is the number of times the target has been hit by the user. (Maximum 10d8; multi-hit attacks only add 1 die.)</t>
  </si>
  <si>
    <t>Shred</t>
  </si>
  <si>
    <r>
      <rPr>
        <rFont val="Arial"/>
        <color rgb="FFEFEFEF"/>
      </rPr>
      <t xml:space="preserve">Targets </t>
    </r>
    <r>
      <rPr>
        <rFont val="Arial"/>
        <i/>
        <color rgb="FFEFEFEF"/>
      </rPr>
      <t>deal -25% damage</t>
    </r>
    <r>
      <rPr>
        <rFont val="Arial"/>
        <color rgb="FFEFEFEF"/>
      </rPr>
      <t xml:space="preserve"> on their next standard/full attack.</t>
    </r>
  </si>
  <si>
    <t>Plague</t>
  </si>
  <si>
    <r>
      <rPr>
        <rFont val="Arial"/>
        <b/>
        <sz val="10.0"/>
      </rPr>
      <t xml:space="preserve">65 HP | 13 ATK | </t>
    </r>
    <r>
      <rPr>
        <rFont val="Arial"/>
        <b val="0"/>
        <i/>
        <sz val="10.0"/>
      </rPr>
      <t>8 MAG</t>
    </r>
    <r>
      <rPr>
        <rFont val="Arial"/>
        <b/>
        <sz val="10.0"/>
      </rPr>
      <t xml:space="preserve"> | 17 PD | 10 MD | 2 MP</t>
    </r>
  </si>
  <si>
    <t>If the target is bleeding, this move automatically crits if it hits.</t>
  </si>
  <si>
    <t>"A weapon reliant on positioning, benefitting from pushing people away."</t>
  </si>
  <si>
    <t>Damage over Time (DoT) effects deal damage just before the affected Entity's turn and last for the specified duration, even if the user dies. The user can only inflict a Foe with one new DoT effect per turn.</t>
  </si>
  <si>
    <t>Galdr</t>
  </si>
  <si>
    <t>Heavy Weapon</t>
  </si>
  <si>
    <t>70 HP | 12 ATK | 9 MAG | 15 PD | 15 MD | 2 MP</t>
  </si>
  <si>
    <t>The user chooses Bleed, Burn or Poison. The target is inflicted with 5 [Chosen Status]/2.</t>
  </si>
  <si>
    <t>2d6+2</t>
  </si>
  <si>
    <t>"A defensive control weapon that manipulates foes into your melee, then punishes them for it."</t>
  </si>
  <si>
    <t>Range 5
(Splash 1)</t>
  </si>
  <si>
    <t>Foe or Ally</t>
  </si>
  <si>
    <r>
      <rPr>
        <rFont val="Arial"/>
        <color rgb="FFEFEFEF"/>
      </rPr>
      <t xml:space="preserve">The user teleports and swaps locations with the target, ignoring AoOs. On their next turn, the target has </t>
    </r>
    <r>
      <rPr>
        <rFont val="Arial"/>
        <color rgb="FFEFEFEF"/>
        <u/>
      </rPr>
      <t>+1 MP</t>
    </r>
    <r>
      <rPr>
        <rFont val="Arial"/>
        <color rgb="FFEFEFEF"/>
      </rPr>
      <t>.</t>
    </r>
  </si>
  <si>
    <t>Focus</t>
  </si>
  <si>
    <t>This move inflicts 2d6+2 DoT on the original target for 2 rounds.</t>
  </si>
  <si>
    <t>Astral Projection</t>
  </si>
  <si>
    <t>3d4+10</t>
  </si>
  <si>
    <t>The user has +1 accuracy on all ranged attacks, but cannot use Backstep.</t>
  </si>
  <si>
    <t>This move deals no damage. On hit, inflict the targets with DoT equal to the roll for one round. This move is immune to outside damage factors. Only add half MAG.</t>
  </si>
  <si>
    <r>
      <rPr>
        <rFont val="Arial"/>
        <color rgb="FFEFEFEF"/>
      </rPr>
      <t>The user’s next Spellbook attack deals</t>
    </r>
    <r>
      <rPr>
        <rFont val="Arial"/>
        <i/>
        <color rgb="FFEFEFEF"/>
      </rPr>
      <t xml:space="preserve"> -12 damage</t>
    </r>
    <r>
      <rPr>
        <rFont val="Arial"/>
        <color rgb="FFEFEFEF"/>
      </rPr>
      <t>, and has its secondary effect doubled. (In the case of statuses, only duration is doubled.)</t>
    </r>
  </si>
  <si>
    <t>Tomahawk Toss</t>
  </si>
  <si>
    <t>Jera</t>
  </si>
  <si>
    <t>Maelstrom</t>
  </si>
  <si>
    <t>1d6+1</t>
  </si>
  <si>
    <t>2d10+13</t>
  </si>
  <si>
    <t>Range 4
(Splash 1)</t>
  </si>
  <si>
    <r>
      <t xml:space="preserve">At the start of user's next turn, the user may choose to gain </t>
    </r>
    <r>
      <rPr>
        <rFont val="Arial"/>
        <color rgb="FFEFEFEF"/>
        <u/>
      </rPr>
      <t>+10 damage</t>
    </r>
    <r>
      <rPr>
        <rFont val="Arial"/>
        <color rgb="FFEFEFEF"/>
      </rPr>
      <t xml:space="preserve">, </t>
    </r>
    <r>
      <rPr>
        <rFont val="Arial"/>
        <color rgb="FFEFEFEF"/>
        <u/>
      </rPr>
      <t>+3 accuracy,</t>
    </r>
    <r>
      <rPr>
        <rFont val="Arial"/>
        <color rgb="FFEFEFEF"/>
      </rPr>
      <t xml:space="preserve"> or </t>
    </r>
    <r>
      <rPr>
        <rFont val="Arial"/>
        <color rgb="FFEFEFEF"/>
        <u/>
      </rPr>
      <t>+2 MP</t>
    </r>
    <r>
      <rPr>
        <rFont val="Arial"/>
        <color rgb="FFEFEFEF"/>
      </rPr>
      <t xml:space="preserve"> for that turn.</t>
    </r>
  </si>
  <si>
    <t>Before accuracy, the user's active DoT effects on the target are extended by 1 round. On hit, the target takes double damage from the user's DoT for 1 round. Do not add MAG.</t>
  </si>
  <si>
    <t>Totems</t>
  </si>
  <si>
    <t>Oath of Harmony</t>
  </si>
  <si>
    <t>Whenever the target attacks a foe, they heal 15% of the damage dealt. When hitting multiple foes, only heal for 15% of the highest damage dealt to one. Only one target can be affected at a time. This effect only ends once the target dies, and does not stack.</t>
  </si>
  <si>
    <t>Oath of Discord</t>
  </si>
  <si>
    <r>
      <rPr>
        <rFont val="Arial"/>
        <color rgb="FFEFEFEF"/>
      </rPr>
      <t xml:space="preserve">The targets' next Standard/Full attacks have </t>
    </r>
    <r>
      <rPr>
        <rFont val="Arial"/>
        <i/>
        <color rgb="FFEFEFEF"/>
      </rPr>
      <t>-1 dice</t>
    </r>
    <r>
      <rPr>
        <rFont val="Arial"/>
        <color rgb="FFEFEFEF"/>
      </rPr>
      <t xml:space="preserve">, and </t>
    </r>
    <r>
      <rPr>
        <rFont val="Arial"/>
        <i/>
        <color rgb="FFEFEFEF"/>
      </rPr>
      <t>-1 ACC</t>
    </r>
    <r>
      <rPr>
        <rFont val="Arial"/>
        <color rgb="FFEFEFEF"/>
      </rPr>
      <t xml:space="preserve"> if this accuracy debuff was not applied on the user's previous Disarm.</t>
    </r>
  </si>
  <si>
    <r>
      <rPr>
        <rFont val="Arial"/>
        <b/>
        <sz val="10.0"/>
      </rPr>
      <t xml:space="preserve">70 HP | </t>
    </r>
    <r>
      <rPr>
        <rFont val="Arial"/>
        <b val="0"/>
        <i/>
        <sz val="10.0"/>
      </rPr>
      <t>3 ATK</t>
    </r>
    <r>
      <rPr>
        <rFont val="Arial"/>
        <b/>
        <sz val="10.0"/>
      </rPr>
      <t xml:space="preserve"> | 7 MAG | 5 PD | 5 MD | 1 MP</t>
    </r>
  </si>
  <si>
    <r>
      <rPr>
        <rFont val="Arial"/>
        <i val="0"/>
        <color rgb="FFEFEFEF"/>
      </rPr>
      <t xml:space="preserve">The target takes 10% more damage from all attacks. </t>
    </r>
    <r>
      <rPr>
        <rFont val="Arial"/>
        <color rgb="FFEFEFEF"/>
      </rPr>
      <t>Only one target can be affected at a time. This effect only ends once the target dies, and does not stack.</t>
    </r>
  </si>
  <si>
    <t>Spurn Shot</t>
  </si>
  <si>
    <t>Sealed Fate</t>
  </si>
  <si>
    <t>"Build up Totem stacks for various offensive buffs."</t>
  </si>
  <si>
    <t>1d4+0</t>
  </si>
  <si>
    <t>Carve Totem</t>
  </si>
  <si>
    <t>Range 3
(Double Hit)</t>
  </si>
  <si>
    <t xml:space="preserve">If used from full range, this attack has +4 damage. </t>
  </si>
  <si>
    <r>
      <rPr>
        <rFont val="Arial"/>
        <color rgb="FFEFEFEF"/>
      </rPr>
      <t xml:space="preserve">This move inflicts 2d4+5 DoT on the targets for 2 rounds. If neither hit misses a target, that target has </t>
    </r>
    <r>
      <rPr>
        <rFont val="Arial"/>
        <i/>
        <color rgb="FFEFEFEF"/>
      </rPr>
      <t>-1 Evasions</t>
    </r>
    <r>
      <rPr>
        <rFont val="Arial"/>
        <color rgb="FFEFEFEF"/>
      </rPr>
      <t xml:space="preserve"> until this move's DoT expires.</t>
    </r>
  </si>
  <si>
    <t>Hagalaz</t>
  </si>
  <si>
    <t>1d4+1</t>
  </si>
  <si>
    <t>Any</t>
  </si>
  <si>
    <t>This move deals no damage. On hit, inflict the target with DoT equal to the roll for 2 rounds. This move is immune to outside damage factors. Do not add MAG.</t>
  </si>
  <si>
    <t>This can only be used if the user targeted a foe/ally in Melee range on their previous turn. The target is pushed up to 3 tiles (if targeting the user, they choose the direction). Then, the user's Movement action is disabled for the rest of the turn.</t>
  </si>
  <si>
    <t>Crippling Ailment</t>
  </si>
  <si>
    <t>During their next turn, if the target is able to, but does not attack the user from Melee, the user may AoO them at the end of the turn.</t>
  </si>
  <si>
    <t>Piercing Blow</t>
  </si>
  <si>
    <r>
      <rPr>
        <rFont val="Arial"/>
        <color rgb="FFEFEFEF"/>
      </rPr>
      <t xml:space="preserve">This may be used at the start of the user's turn and restores a use, once per turn, after the user's Standard/Full attack resolves. The user gains a </t>
    </r>
    <r>
      <rPr>
        <rFont val="Arial"/>
        <b/>
        <color rgb="FFEFEFEF"/>
      </rPr>
      <t>Totem</t>
    </r>
    <r>
      <rPr>
        <rFont val="Arial"/>
        <color rgb="FFEFEFEF"/>
      </rPr>
      <t xml:space="preserve"> with one Animal of their choice and one Colour of their choice. Only the most recently carved Colour will have its effect.
Animals: </t>
    </r>
    <r>
      <rPr>
        <rFont val="Arial"/>
        <b/>
        <color rgb="FFEFEFEF"/>
      </rPr>
      <t>Lion</t>
    </r>
    <r>
      <rPr>
        <rFont val="Arial"/>
        <color rgb="FFEFEFEF"/>
      </rPr>
      <t xml:space="preserve"> (+2 damage), </t>
    </r>
    <r>
      <rPr>
        <rFont val="Arial"/>
        <b/>
        <color rgb="FFEFEFEF"/>
      </rPr>
      <t>Hawk</t>
    </r>
    <r>
      <rPr>
        <rFont val="Arial"/>
        <color rgb="FFEFEFEF"/>
      </rPr>
      <t xml:space="preserve"> (+1 accuracy), </t>
    </r>
    <r>
      <rPr>
        <rFont val="Arial"/>
        <b/>
        <color rgb="FFEFEFEF"/>
      </rPr>
      <t>Giraffe</t>
    </r>
    <r>
      <rPr>
        <rFont val="Arial"/>
        <color rgb="FFEFEFEF"/>
      </rPr>
      <t xml:space="preserve"> (+1 range).
Colours: </t>
    </r>
    <r>
      <rPr>
        <rFont val="Arial"/>
        <b/>
        <color rgb="FFEFEFEF"/>
      </rPr>
      <t>Red</t>
    </r>
    <r>
      <rPr>
        <rFont val="Arial"/>
        <color rgb="FFEFEFEF"/>
      </rPr>
      <t xml:space="preserve"> (+1 Dice), </t>
    </r>
    <r>
      <rPr>
        <rFont val="Arial"/>
        <b/>
        <color rgb="FFEFEFEF"/>
      </rPr>
      <t>Blue</t>
    </r>
    <r>
      <rPr>
        <rFont val="Arial"/>
        <color rgb="FFEFEFEF"/>
      </rPr>
      <t xml:space="preserve"> (+2 DR), </t>
    </r>
    <r>
      <rPr>
        <rFont val="Arial"/>
        <b/>
        <color rgb="FFEFEFEF"/>
      </rPr>
      <t>Green</t>
    </r>
    <r>
      <rPr>
        <rFont val="Arial"/>
        <color rgb="FFEFEFEF"/>
      </rPr>
      <t xml:space="preserve"> (+1 Evasion)
The user may have a maximum of 5 Totems active at one time.
Damage bonuses that scale with number of Totems are applied as outside damage factors.</t>
    </r>
  </si>
  <si>
    <t>4d6+6</t>
  </si>
  <si>
    <t>1d10+7</t>
  </si>
  <si>
    <t>Totem Dance</t>
  </si>
  <si>
    <t>The target is inflicted with 2 Bleed/1. If used in melee, the bleed is increased to 7/1.</t>
  </si>
  <si>
    <r>
      <rPr>
        <rFont val="Arial"/>
        <color rgb="FFEFEFEF"/>
      </rPr>
      <t xml:space="preserve">Choose </t>
    </r>
    <r>
      <rPr>
        <rFont val="Arial"/>
        <b/>
        <color rgb="FFEFEFEF"/>
      </rPr>
      <t>Isaz</t>
    </r>
    <r>
      <rPr>
        <rFont val="Arial"/>
        <color rgb="FFEFEFEF"/>
      </rPr>
      <t xml:space="preserve"> or </t>
    </r>
    <r>
      <rPr>
        <rFont val="Arial"/>
        <b/>
        <color rgb="FFEFEFEF"/>
      </rPr>
      <t>Kenaz</t>
    </r>
    <r>
      <rPr>
        <rFont val="Arial"/>
        <color rgb="FFEFEFEF"/>
      </rPr>
      <t xml:space="preserve">. 
</t>
    </r>
    <r>
      <rPr>
        <rFont val="Arial"/>
        <b/>
        <color rgb="FFEFEFEF"/>
      </rPr>
      <t>Isaz:</t>
    </r>
    <r>
      <rPr>
        <rFont val="Arial"/>
        <color rgb="FFEFEFEF"/>
      </rPr>
      <t xml:space="preserve"> Homing 5. The target is inflicted with </t>
    </r>
    <r>
      <rPr>
        <rFont val="Arial"/>
        <i/>
        <color rgb="FFEFEFEF"/>
      </rPr>
      <t>-2 EVAs/1</t>
    </r>
    <r>
      <rPr>
        <rFont val="Arial"/>
        <color rgb="FFEFEFEF"/>
      </rPr>
      <t xml:space="preserve"> and  </t>
    </r>
    <r>
      <rPr>
        <rFont val="Arial"/>
        <i/>
        <color rgb="FFEFEFEF"/>
      </rPr>
      <t>-3 DR/1</t>
    </r>
    <r>
      <rPr>
        <rFont val="Arial"/>
        <color rgb="FFEFEFEF"/>
      </rPr>
      <t xml:space="preserve">. 
</t>
    </r>
    <r>
      <rPr>
        <rFont val="Arial"/>
        <b/>
        <color rgb="FFEFEFEF"/>
      </rPr>
      <t>Kenaz:</t>
    </r>
    <r>
      <rPr>
        <rFont val="Arial"/>
        <color rgb="FFEFEFEF"/>
      </rPr>
      <t xml:space="preserve"> Line 5. The user's active DoT effects on the target are extended by 1 round. Until those DoT effects expire, the target is inflicted with </t>
    </r>
    <r>
      <rPr>
        <rFont val="Arial"/>
        <i/>
        <color rgb="FFEFEFEF"/>
      </rPr>
      <t>-2 ACC</t>
    </r>
    <r>
      <rPr>
        <rFont val="Arial"/>
        <color rgb="FFEFEFEF"/>
      </rPr>
      <t xml:space="preserve"> and </t>
    </r>
    <r>
      <rPr>
        <rFont val="Arial"/>
        <i/>
        <color rgb="FFEFEFEF"/>
      </rPr>
      <t>-3 DMG</t>
    </r>
    <r>
      <rPr>
        <rFont val="Arial"/>
        <color rgb="FFEFEFEF"/>
      </rPr>
      <t>.</t>
    </r>
  </si>
  <si>
    <t>Focused Fling</t>
  </si>
  <si>
    <t>Inveita</t>
  </si>
  <si>
    <t>X</t>
  </si>
  <si>
    <t>This may be used whenever the user may use AoO. If used as a Reaction, this move cannot be ignored by abilities (except Backstep).</t>
  </si>
  <si>
    <t>3d4+6</t>
  </si>
  <si>
    <t>2d10+0</t>
  </si>
  <si>
    <t>Evasive Stance</t>
  </si>
  <si>
    <t>The target is healed for the amount rolled. As a Standard, add the user's MAG to the roll.</t>
  </si>
  <si>
    <t>Magic Circle</t>
  </si>
  <si>
    <t>This move has a MR of X, where X = 5 - The range this move is used at.</t>
  </si>
  <si>
    <t>Kinetic Throw</t>
  </si>
  <si>
    <t>This attack deals +3 damage for each of the user's active Totems.</t>
  </si>
  <si>
    <t>Feral Spark</t>
  </si>
  <si>
    <t>Xd10+3</t>
  </si>
  <si>
    <r>
      <rPr>
        <rFont val="Arial"/>
        <color rgb="FFEFEFEF"/>
      </rPr>
      <t xml:space="preserve">The user gains </t>
    </r>
    <r>
      <rPr>
        <rFont val="Arial"/>
        <color rgb="FFEFEFEF"/>
        <u/>
      </rPr>
      <t>+3 EVA</t>
    </r>
    <r>
      <rPr>
        <rFont val="Arial"/>
        <color rgb="FFEFEFEF"/>
      </rPr>
      <t xml:space="preserve"> for one round. Next turn, the user has </t>
    </r>
    <r>
      <rPr>
        <rFont val="Arial"/>
        <i/>
        <color rgb="FFEFEFEF"/>
      </rPr>
      <t>-10 DMG</t>
    </r>
    <r>
      <rPr>
        <rFont val="Arial"/>
        <color rgb="FFEFEFEF"/>
      </rPr>
      <t xml:space="preserve"> on attacks.</t>
    </r>
  </si>
  <si>
    <r>
      <rPr>
        <rFont val="Arial"/>
        <color rgb="FFEFEFEF"/>
      </rPr>
      <t xml:space="preserve">For one round, the user and allies in range have </t>
    </r>
    <r>
      <rPr>
        <rFont val="Arial"/>
        <color rgb="FFEFEFEF"/>
        <u/>
      </rPr>
      <t>+2 MP</t>
    </r>
    <r>
      <rPr>
        <rFont val="Arial"/>
        <color rgb="FFEFEFEF"/>
      </rPr>
      <t>, deal an additional 20% attack damage to targets affected by the user's Oath of Discord, and heal an additional 30% of damage dealt with attacks while affected by the user's Oath of Harmony.</t>
    </r>
  </si>
  <si>
    <t>This attack has X - 1 dice, where X is the range this move is used at.</t>
  </si>
  <si>
    <t>Ragnarök</t>
  </si>
  <si>
    <t>Hold Over</t>
  </si>
  <si>
    <t>Repulse Slice</t>
  </si>
  <si>
    <t>Melee
(Push 1)</t>
  </si>
  <si>
    <t>This attack gains +damage equal to one quarter of the damage the user has dealt to foes with DoT this game.</t>
  </si>
  <si>
    <t>Declare a range type (except Melee). For one round, foes outside of the user's Melee cannot target the user with attacks of that range type. (Range modifiers do not affect Hold Over.)</t>
  </si>
  <si>
    <t>Foes cannot enter the user's melee for one round.</t>
  </si>
  <si>
    <t>The user may create an additional Totem the next time they use Carve Totem.</t>
  </si>
  <si>
    <t>Talisman</t>
  </si>
  <si>
    <t>Yin Yang</t>
  </si>
  <si>
    <t>Continental Crash</t>
  </si>
  <si>
    <t>Blasphemy</t>
  </si>
  <si>
    <t>3d8+8</t>
  </si>
  <si>
    <t>3d10+4</t>
  </si>
  <si>
    <r>
      <rPr>
        <rFont val="Arial"/>
        <b/>
        <sz val="10.0"/>
      </rPr>
      <t xml:space="preserve">65 HP | </t>
    </r>
    <r>
      <rPr>
        <rFont val="Arial"/>
        <b val="0"/>
        <i/>
        <sz val="10.0"/>
      </rPr>
      <t>7 ATK</t>
    </r>
    <r>
      <rPr>
        <rFont val="Arial"/>
        <b/>
        <sz val="10.0"/>
      </rPr>
      <t xml:space="preserve"> | 11 MAG | 15 PD | 15 MD | 2 MP</t>
    </r>
  </si>
  <si>
    <t>Allies</t>
  </si>
  <si>
    <t>"A weapon focused on buffing itself and/or allies."</t>
  </si>
  <si>
    <t>Each of the user's active Totem's bonuses are granted to the user's allies for one round.</t>
  </si>
  <si>
    <t>The user may replace two unoccupied tiles in their Melee with Broken tiles. Foes who end their turn with at least one of these tiles in their Melee take 10 damage. These tiles revert after 3 rounds, or when the user dies.</t>
  </si>
  <si>
    <t>Animal Sacrifice</t>
  </si>
  <si>
    <t>Two-Handed</t>
  </si>
  <si>
    <r>
      <rPr>
        <rFont val="Arial"/>
        <color rgb="FFEFEFEF"/>
        <sz val="10.0"/>
      </rPr>
      <t xml:space="preserve">Choose </t>
    </r>
    <r>
      <rPr>
        <rFont val="Arial"/>
        <b/>
        <color rgb="FFEFEFEF"/>
        <sz val="10.0"/>
      </rPr>
      <t>Yin</t>
    </r>
    <r>
      <rPr>
        <rFont val="Arial"/>
        <color rgb="FFEFEFEF"/>
        <sz val="10.0"/>
      </rPr>
      <t xml:space="preserve"> or </t>
    </r>
    <r>
      <rPr>
        <rFont val="Arial"/>
        <b/>
        <color rgb="FFEFEFEF"/>
        <sz val="10.0"/>
      </rPr>
      <t>Yang</t>
    </r>
    <r>
      <rPr>
        <rFont val="Arial"/>
        <color rgb="FFEFEFEF"/>
        <sz val="10.0"/>
      </rPr>
      <t xml:space="preserve">. </t>
    </r>
    <r>
      <rPr>
        <rFont val="Arial"/>
        <b/>
        <color rgb="FFEFEFEF"/>
        <sz val="10.0"/>
      </rPr>
      <t>Yin</t>
    </r>
    <r>
      <rPr>
        <rFont val="Arial"/>
        <color rgb="FFEFEFEF"/>
        <sz val="10.0"/>
      </rPr>
      <t xml:space="preserve">: Physical/Melee. If the target does not damage the user with attacks on their next turn, they take 1d8+5 damage. </t>
    </r>
    <r>
      <rPr>
        <rFont val="Arial"/>
        <b/>
        <color rgb="FFEFEFEF"/>
        <sz val="10.0"/>
      </rPr>
      <t>Yang</t>
    </r>
    <r>
      <rPr>
        <rFont val="Arial"/>
        <color rgb="FFEFEFEF"/>
        <sz val="10.0"/>
      </rPr>
      <t>: Magical/Homing 4. For one round, foes take 1d8+5 damage each time they damage the user with attacks.</t>
    </r>
  </si>
  <si>
    <t>Solomon's Wisdom</t>
  </si>
  <si>
    <t>Standoff</t>
  </si>
  <si>
    <t>Range 4 
(Push 1)</t>
  </si>
  <si>
    <t>This attack has Splash 1 if used outside of Range 3.</t>
  </si>
  <si>
    <r>
      <rPr>
        <rFont val="Arial"/>
        <color rgb="FFEFEFEF"/>
      </rPr>
      <t xml:space="preserve">Before accuracy, the user may sacrifice one active Totem. This attack inflicts the target with that Totem's corresponding effect, where X is the number of successful hits.
</t>
    </r>
    <r>
      <rPr>
        <rFont val="Arial"/>
        <b/>
        <color rgb="FFEFEFEF"/>
      </rPr>
      <t>Lion</t>
    </r>
    <r>
      <rPr>
        <rFont val="Arial"/>
        <color rgb="FFEFEFEF"/>
      </rPr>
      <t xml:space="preserve">: 3 Bleed/X.
</t>
    </r>
    <r>
      <rPr>
        <rFont val="Arial"/>
        <b/>
        <color rgb="FFEFEFEF"/>
      </rPr>
      <t>Hawk</t>
    </r>
    <r>
      <rPr>
        <rFont val="Arial"/>
        <color rgb="FFEFEFEF"/>
      </rPr>
      <t xml:space="preserve">: 3 Poison/X.
</t>
    </r>
    <r>
      <rPr>
        <rFont val="Arial"/>
        <b/>
        <color rgb="FFEFEFEF"/>
      </rPr>
      <t>Giraffe</t>
    </r>
    <r>
      <rPr>
        <rFont val="Arial"/>
        <color rgb="FFEFEFEF"/>
      </rPr>
      <t>: 3 Burn/X.</t>
    </r>
  </si>
  <si>
    <t>Line-Out</t>
  </si>
  <si>
    <t>Totem Crest</t>
  </si>
  <si>
    <t>If the target ends their next turn in the user's Melee, they take 1d10+ATK/2 damage at the start of the user's next turn.</t>
  </si>
  <si>
    <t>Tempest Sweep</t>
  </si>
  <si>
    <r>
      <rPr>
        <rFont val="Arial"/>
        <color rgb="FF000000"/>
      </rPr>
      <t xml:space="preserve">The target gains </t>
    </r>
    <r>
      <rPr>
        <rFont val="Arial"/>
        <color rgb="FF000000"/>
        <u/>
      </rPr>
      <t>1d8+5 damage</t>
    </r>
    <r>
      <rPr>
        <rFont val="Arial"/>
        <color rgb="FF000000"/>
      </rPr>
      <t xml:space="preserve"> to their next attack. A player cannot gain this buff again if they currently have this buff. Only two players can have this buff from the user at the same time (self and one ally).</t>
    </r>
  </si>
  <si>
    <t>Smite</t>
  </si>
  <si>
    <r>
      <rPr>
        <rFont val="Arial"/>
        <color rgb="FFEFEFEF"/>
      </rPr>
      <t xml:space="preserve">The user sacrifices one active Totem to permanently increase the effect of any Animal or Colour. Each Animal or Colour may only be crested once.
Animals: </t>
    </r>
    <r>
      <rPr>
        <rFont val="Arial"/>
        <b/>
        <color rgb="FFEFEFEF"/>
      </rPr>
      <t>Lion</t>
    </r>
    <r>
      <rPr>
        <rFont val="Arial"/>
        <color rgb="FFEFEFEF"/>
      </rPr>
      <t xml:space="preserve"> (+5% damage), </t>
    </r>
    <r>
      <rPr>
        <rFont val="Arial"/>
        <b/>
        <color rgb="FFEFEFEF"/>
      </rPr>
      <t>Hawk</t>
    </r>
    <r>
      <rPr>
        <rFont val="Arial"/>
        <color rgb="FFEFEFEF"/>
      </rPr>
      <t xml:space="preserve"> (+2 Crit Range), </t>
    </r>
    <r>
      <rPr>
        <rFont val="Arial"/>
        <b/>
        <color rgb="FFEFEFEF"/>
      </rPr>
      <t>Giraffe</t>
    </r>
    <r>
      <rPr>
        <rFont val="Arial"/>
        <color rgb="FFEFEFEF"/>
      </rPr>
      <t xml:space="preserve"> (+1 MP) 
Colours: One chosen colour has it's effect doubled.</t>
    </r>
  </si>
  <si>
    <t>Totemic Focus</t>
  </si>
  <si>
    <t>Targets take +4 damage for every target before them in the Pierce.</t>
  </si>
  <si>
    <t xml:space="preserve">Twice </t>
  </si>
  <si>
    <t>Razor Rust</t>
  </si>
  <si>
    <t>Replace all instances of "next round/turn" or "one round" with "next two rounds/turns" or "two rounds" (respectively) in the user's weapon abilities.</t>
  </si>
  <si>
    <t>The target is inflicted with 6 Cripple/1.</t>
  </si>
  <si>
    <t>Block</t>
  </si>
  <si>
    <t xml:space="preserve">This attack gains +X dice, where X is the highest number of shared Animals or Colours across the user's active Totems. </t>
  </si>
  <si>
    <t>Chimeric Totem</t>
  </si>
  <si>
    <t>Supreme Strike</t>
  </si>
  <si>
    <t>Twice / E2T</t>
  </si>
  <si>
    <t>Range 3
(6 hits)</t>
  </si>
  <si>
    <t>This may be used when the user is attacked, after damage is rolled. 1/3 of the attack's damage is removed.</t>
  </si>
  <si>
    <r>
      <rPr>
        <rFont val="Arial"/>
        <color rgb="FFEFEFEF"/>
      </rPr>
      <t xml:space="preserve">For every active totem, this attack loses 1 hit. Each of the user's active totems inflicts the target with a stacking effect according to it's animal:
</t>
    </r>
    <r>
      <rPr>
        <rFont val="Arial"/>
        <b/>
        <color rgb="FFEFEFEF"/>
      </rPr>
      <t xml:space="preserve">Lion: </t>
    </r>
    <r>
      <rPr>
        <rFont val="Arial"/>
        <i/>
        <color rgb="FFEFEFEF"/>
      </rPr>
      <t xml:space="preserve">-1 EVAS/1
</t>
    </r>
    <r>
      <rPr>
        <rFont val="Arial"/>
        <b/>
        <color rgb="FFEFEFEF"/>
      </rPr>
      <t xml:space="preserve">Hawk: </t>
    </r>
    <r>
      <rPr>
        <rFont val="Arial"/>
        <i/>
        <color rgb="FFEFEFEF"/>
      </rPr>
      <t xml:space="preserve">-2 DR/1
</t>
    </r>
    <r>
      <rPr>
        <rFont val="Arial"/>
        <b/>
        <color rgb="FFEFEFEF"/>
      </rPr>
      <t xml:space="preserve">Giraffe: </t>
    </r>
    <r>
      <rPr>
        <rFont val="Arial"/>
        <color rgb="FFEFEFEF"/>
      </rPr>
      <t>2 Cripple/1</t>
    </r>
  </si>
  <si>
    <t>Dazing Hook</t>
  </si>
  <si>
    <t>Ancestral Wrath</t>
  </si>
  <si>
    <t>This attack gains +1 dice if the target has used or received a buff at any point during the game.</t>
  </si>
  <si>
    <t>5d10+3</t>
  </si>
  <si>
    <t>Blessing of Kings</t>
  </si>
  <si>
    <t>This move's range cannot be reduced. If the the target attacked the user outside of Melee last round, they are inflicted with Seal/1.</t>
  </si>
  <si>
    <r>
      <rPr>
        <rFont val="Arial"/>
        <color rgb="FFEFEFEF"/>
      </rPr>
      <t xml:space="preserve">The user chooses one of their active totems to base this move's range and effect on.
</t>
    </r>
    <r>
      <rPr>
        <rFont val="Arial"/>
        <b/>
        <color rgb="FFEFEFEF"/>
      </rPr>
      <t>Lion</t>
    </r>
    <r>
      <rPr>
        <rFont val="Arial"/>
        <color rgb="FFEFEFEF"/>
      </rPr>
      <t xml:space="preserve">: Melee. This attack ignores negative outside factors to damage.
</t>
    </r>
    <r>
      <rPr>
        <rFont val="Arial"/>
        <b/>
        <color rgb="FFEFEFEF"/>
      </rPr>
      <t>Hawk</t>
    </r>
    <r>
      <rPr>
        <rFont val="Arial"/>
        <color rgb="FFEFEFEF"/>
      </rPr>
      <t xml:space="preserve">: Range 4. This attack gains an extra hit
</t>
    </r>
    <r>
      <rPr>
        <rFont val="Arial"/>
        <b/>
        <color rgb="FFEFEFEF"/>
      </rPr>
      <t>Giraffe</t>
    </r>
    <r>
      <rPr>
        <rFont val="Arial"/>
        <color rgb="FFEFEFEF"/>
      </rPr>
      <t>: Range 4. This attack gains Push 2. If the target cannot be pushed the full distance, they recieve 1d10+5 damage and 2 Cripple/1.</t>
    </r>
  </si>
  <si>
    <t>Manzat's Blessing</t>
  </si>
  <si>
    <r>
      <rPr>
        <rFont val="Arial"/>
        <color rgb="FF000000"/>
      </rPr>
      <t xml:space="preserve">The user gains </t>
    </r>
    <r>
      <rPr>
        <rFont val="Arial"/>
        <color rgb="FF000000"/>
        <u/>
      </rPr>
      <t>+1 ACC</t>
    </r>
    <r>
      <rPr>
        <rFont val="Arial"/>
        <color rgb="FF000000"/>
      </rPr>
      <t xml:space="preserve"> and </t>
    </r>
    <r>
      <rPr>
        <rFont val="Arial"/>
        <color rgb="FF000000"/>
        <u/>
      </rPr>
      <t>+3 DR</t>
    </r>
    <r>
      <rPr>
        <rFont val="Arial"/>
        <color rgb="FF000000"/>
      </rPr>
      <t xml:space="preserve"> for one round.</t>
    </r>
  </si>
  <si>
    <t>Purify</t>
  </si>
  <si>
    <t>This attack can only be used from maximum range, and gains +dice equal to the number of times the user has pushed any foe with weapon abilities.</t>
  </si>
  <si>
    <t>The user's Totem Colour effect is doubled for one round.</t>
  </si>
  <si>
    <t>Standard or Swift</t>
  </si>
  <si>
    <t>Cataclysm</t>
  </si>
  <si>
    <t>The target heals the amount rolled and all the debuffs on the target are removed.</t>
  </si>
  <si>
    <t>Divine Merit</t>
  </si>
  <si>
    <t>Before accuracy, the user may choose to sacrifice any number of Totems. For each Totem sacrificed, the user gains +5 damage and +1 ACC for this attack. Carve Totem is disabled for one round.</t>
  </si>
  <si>
    <t>This move does not check accuracy or deal damage to allies or the user. The user may teleport any targets to any unoccupied space in range. As a non-damaging Swift, this move is AoE/Self-and-Allies/Star 2.</t>
  </si>
  <si>
    <r>
      <rPr>
        <rFont val="Arial"/>
        <color rgb="FF000000"/>
      </rPr>
      <t xml:space="preserve">10% of the damage dealt by this attack is gained as </t>
    </r>
    <r>
      <rPr>
        <rFont val="Arial"/>
        <color rgb="FF000000"/>
        <u/>
      </rPr>
      <t>+DMG</t>
    </r>
    <r>
      <rPr>
        <rFont val="Arial"/>
        <color rgb="FF000000"/>
      </rPr>
      <t xml:space="preserve"> for 1 round.</t>
    </r>
  </si>
  <si>
    <t>Enlighten</t>
  </si>
  <si>
    <t>This move can be used when an ally in range attacks or is attacked, before accuracy is rolled. The user's non-permanent buffs are transferred to the target for the rest of their duration. The target is also healed 5 HP.</t>
  </si>
  <si>
    <t>Indulgence</t>
  </si>
  <si>
    <r>
      <rPr>
        <rFont val="Arial"/>
        <color rgb="FF000000"/>
      </rPr>
      <t xml:space="preserve">The target gains two of the following buffs (chosen by the user) for one round: </t>
    </r>
    <r>
      <rPr>
        <rFont val="Arial"/>
        <color rgb="FF000000"/>
        <u/>
      </rPr>
      <t>+2 ACC</t>
    </r>
    <r>
      <rPr>
        <rFont val="Arial"/>
        <color rgb="FF000000"/>
      </rPr>
      <t xml:space="preserve">, </t>
    </r>
    <r>
      <rPr>
        <rFont val="Arial"/>
        <color rgb="FF000000"/>
        <u/>
      </rPr>
      <t>+5 DR</t>
    </r>
    <r>
      <rPr>
        <rFont val="Arial"/>
        <color rgb="FF000000"/>
      </rPr>
      <t xml:space="preserve">, </t>
    </r>
    <r>
      <rPr>
        <rFont val="Arial"/>
        <color rgb="FF000000"/>
        <u/>
      </rPr>
      <t>+3 DMG</t>
    </r>
    <r>
      <rPr>
        <rFont val="Arial"/>
        <color rgb="FF000000"/>
      </rPr>
      <t xml:space="preserve">, </t>
    </r>
    <r>
      <rPr>
        <rFont val="Arial"/>
        <color rgb="FF000000"/>
        <u/>
      </rPr>
      <t>+2 Crit Range</t>
    </r>
    <r>
      <rPr>
        <rFont val="Arial"/>
        <color rgb="FF000000"/>
      </rPr>
      <t>. The player cannot gain this buff again if they currently have this buff.</t>
    </r>
  </si>
  <si>
    <t>Tempting Fate</t>
  </si>
  <si>
    <t>Melee
(Double Hit)</t>
  </si>
  <si>
    <r>
      <rPr>
        <rFont val="Arial"/>
        <color rgb="FF000000"/>
      </rPr>
      <t xml:space="preserve">The user is inflicted with </t>
    </r>
    <r>
      <rPr>
        <rFont val="Arial"/>
        <i/>
        <color rgb="FF000000"/>
      </rPr>
      <t xml:space="preserve">-3 DMG </t>
    </r>
    <r>
      <rPr>
        <rFont val="Arial"/>
        <color rgb="FF000000"/>
      </rPr>
      <t>and</t>
    </r>
    <r>
      <rPr>
        <rFont val="Arial"/>
        <i/>
        <color rgb="FF000000"/>
      </rPr>
      <t xml:space="preserve"> -1 ACC</t>
    </r>
    <r>
      <rPr>
        <rFont val="Arial"/>
        <color rgb="FF000000"/>
      </rPr>
      <t xml:space="preserve"> for one round. If the user rolls 16+ on accuracy on one of the hits, these effects are negated. If the user rolls 16+ on accuracy on both hits, the debuffs are instead inverted.</t>
    </r>
  </si>
  <si>
    <t>HP</t>
  </si>
  <si>
    <t>Absolution</t>
  </si>
  <si>
    <t>4d8+12</t>
  </si>
  <si>
    <t>A</t>
  </si>
  <si>
    <t>Before accuracy, the user loses all of their buffs and cannot gain any until the start of their next turn.</t>
  </si>
  <si>
    <t>Siphon</t>
  </si>
  <si>
    <t>M</t>
  </si>
  <si>
    <t>PD</t>
  </si>
  <si>
    <t>MD</t>
  </si>
  <si>
    <t>MP</t>
  </si>
  <si>
    <t>Before accuracy, the target's non-permanent buffs are transferred to the user.</t>
  </si>
  <si>
    <t>Echo of Light</t>
  </si>
  <si>
    <t>Free for All (FFA)</t>
  </si>
  <si>
    <t>Teams (PvP)</t>
  </si>
  <si>
    <t>Nowhere To Run (NTR)</t>
  </si>
  <si>
    <t>Juggernaut</t>
  </si>
  <si>
    <t>PvP NTR</t>
  </si>
  <si>
    <t>Format</t>
  </si>
  <si>
    <t>Base</t>
  </si>
  <si>
    <t>After this move deals damage, the user's non-multiplicative buffs obtained through the user's Talisman abilities are doubled and extended by one round. These buffs may not be further increased in duration until their effects end.</t>
  </si>
  <si>
    <t>3p</t>
  </si>
  <si>
    <t>1v1</t>
  </si>
  <si>
    <t>2vJ</t>
  </si>
  <si>
    <t>2v2</t>
  </si>
  <si>
    <t>4p</t>
  </si>
  <si>
    <t>3vJ</t>
  </si>
  <si>
    <t>3v3</t>
  </si>
  <si>
    <t>5p</t>
  </si>
  <si>
    <t>4vJ</t>
  </si>
  <si>
    <t>2v2v2</t>
  </si>
  <si>
    <t>6p</t>
  </si>
  <si>
    <t>PvP + Juggernaut (PvPJ)</t>
  </si>
  <si>
    <t>4v4</t>
  </si>
  <si>
    <t>7p</t>
  </si>
  <si>
    <t>2v3</t>
  </si>
  <si>
    <t>2v2v2v2</t>
  </si>
  <si>
    <t>8p</t>
  </si>
  <si>
    <t>3v4</t>
  </si>
  <si>
    <t>Levels and Exp Cost</t>
  </si>
  <si>
    <t>Level</t>
  </si>
  <si>
    <t>2</t>
  </si>
  <si>
    <t>3</t>
  </si>
  <si>
    <t>4</t>
  </si>
  <si>
    <t>5</t>
  </si>
  <si>
    <t>6</t>
  </si>
  <si>
    <t>7</t>
  </si>
  <si>
    <t>8</t>
  </si>
  <si>
    <t>9</t>
  </si>
  <si>
    <t>10</t>
  </si>
  <si>
    <t>Archer Celestial</t>
  </si>
  <si>
    <t>Cost</t>
  </si>
  <si>
    <t>15</t>
  </si>
  <si>
    <t>Total</t>
  </si>
  <si>
    <t>Extra Loot Rules</t>
  </si>
  <si>
    <t>Hosts</t>
  </si>
  <si>
    <t>Players</t>
  </si>
  <si>
    <t>Game Mode/Mods</t>
  </si>
  <si>
    <t>Hosts get base loot, including gems, if they host but don't play.</t>
  </si>
  <si>
    <t>Clairvoyant Dark</t>
  </si>
  <si>
    <t>Players gain +1 loot/kill. In PvP, this loot applies for the whole team.</t>
  </si>
  <si>
    <t>Juggernaut - If Juggernaut is defeated, party gets +PL/2 + 1 XP.</t>
  </si>
  <si>
    <t>Hosts get 
+1 Loot for hosting 3-4p games 
+2 Loot for hosting 5-6p games,
+3 Loot for hosting 7-8p games.</t>
  </si>
  <si>
    <t>Players get
1 Gem in 3-4p games,
2 Gems in 5-6p games,
3 Gems in 7-8p games.</t>
  </si>
  <si>
    <t>Pendulum</t>
  </si>
  <si>
    <t>In FFA and PvP, the remaining player/team has their kill loot multiplied by 1.5. (PvP bonus applies only to two teams.)</t>
  </si>
  <si>
    <t>Hosts gain an extra gem for hosting 7-8p games.</t>
  </si>
  <si>
    <t>If a player dies via terrain, recoil, or ND or is modkilled, the last player to deal damage to them gets the kill.</t>
  </si>
  <si>
    <t>NTR - each player earns +1 XP per turn lived in addition to kill loot.
(This does not apply to PvPNTR.)</t>
  </si>
  <si>
    <t>Dueler Fighter</t>
  </si>
  <si>
    <t>Heavy Regal</t>
  </si>
  <si>
    <t>Archer / Celestial</t>
  </si>
  <si>
    <t>Clairvoyant / Dark</t>
  </si>
  <si>
    <t>Dueler / Fighter</t>
  </si>
  <si>
    <t>Heavy / Regal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</si>
</sst>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d/m/yy"/>
    <numFmt numFmtId="166" formatCode="dd/mm/yyyy"/>
    <numFmt numFmtId="167" formatCode="d/m/yyyy"/>
  </numFmts>
  <fonts count="57">
    <font>
      <sz val="10.0"/>
      <color rgb="FF000000"/>
      <name val="Arial"/>
    </font>
    <font>
      <b/>
    </font>
    <font>
      <sz val="24.0"/>
      <color rgb="FFFFFFFF"/>
      <name val="Arial"/>
    </font>
    <font>
      <sz val="12.0"/>
      <color rgb="FFFFFFFF"/>
      <name val="Arial"/>
    </font>
    <font>
      <sz val="18.0"/>
      <color rgb="FFFFFFFF"/>
      <name val="Arial"/>
    </font>
    <font/>
    <font>
      <name val="Arial"/>
    </font>
    <font>
      <sz val="12.0"/>
      <color rgb="FFFFFFFF"/>
    </font>
    <font>
      <sz val="18.0"/>
      <color rgb="FFFFFFFF"/>
    </font>
    <font>
      <color rgb="FFFFFFFF"/>
    </font>
    <font>
      <u/>
      <sz val="12.0"/>
      <color rgb="FFFFFFFF"/>
      <name val="Arial"/>
    </font>
    <font>
      <b/>
      <i/>
      <sz val="12.0"/>
      <color rgb="FFFFFFFF"/>
    </font>
    <font>
      <strike/>
      <sz val="12.0"/>
      <color rgb="FFFFFFFF"/>
    </font>
    <font>
      <color rgb="FFFFFFFF"/>
      <name val="Arial"/>
    </font>
    <font>
      <strike/>
      <sz val="12.0"/>
      <color rgb="FFFFFFFF"/>
      <name val="Arial"/>
    </font>
    <font>
      <b/>
      <u/>
      <sz val="30.0"/>
      <color rgb="FFFFFFFF"/>
      <name val="Arial"/>
    </font>
    <font>
      <b/>
      <sz val="14.0"/>
      <color rgb="FFFFFFFF"/>
      <name val="Arial"/>
    </font>
    <font>
      <b/>
      <sz val="14.0"/>
    </font>
    <font>
      <sz val="10.0"/>
    </font>
    <font>
      <u/>
      <sz val="14.0"/>
      <color rgb="FF0000FF"/>
      <name val="Arial"/>
    </font>
    <font>
      <u/>
      <sz val="14.0"/>
      <color rgb="FF1155CC"/>
      <name val="Arial"/>
    </font>
    <font>
      <u/>
      <color rgb="FF0000FF"/>
    </font>
    <font>
      <i/>
    </font>
    <font>
      <b/>
      <sz val="11.0"/>
      <color rgb="FFFFFFFF"/>
      <name val="Arial"/>
    </font>
    <font>
      <u/>
      <sz val="14.0"/>
      <color rgb="FF1155CC"/>
      <name val="Arial"/>
    </font>
    <font>
      <u/>
      <sz val="12.0"/>
      <color rgb="FF1155CC"/>
      <name val="Arial"/>
    </font>
    <font>
      <u/>
      <sz val="12.0"/>
      <color rgb="FF0000FF"/>
      <name val="Arial"/>
    </font>
    <font>
      <b/>
      <u/>
      <sz val="18.0"/>
      <name val="Arial"/>
    </font>
    <font>
      <u/>
      <sz val="12.0"/>
      <color rgb="FF1155CC"/>
      <name val="Arial"/>
    </font>
    <font>
      <color rgb="FF000000"/>
      <name val="Arial"/>
    </font>
    <font>
      <u/>
      <sz val="14.0"/>
      <color rgb="FF1155CC"/>
      <name val="Arial"/>
    </font>
    <font>
      <u/>
      <color rgb="FF0000FF"/>
    </font>
    <font>
      <b/>
      <sz val="14.0"/>
      <color rgb="FF000000"/>
      <name val="Arial"/>
    </font>
    <font>
      <b/>
      <u/>
      <sz val="18.0"/>
      <name val="Arial"/>
    </font>
    <font>
      <b/>
      <sz val="10.0"/>
      <name val="Arial"/>
    </font>
    <font>
      <u/>
      <sz val="14.0"/>
      <color rgb="FF1155CC"/>
      <name val="Arial"/>
    </font>
    <font>
      <i/>
      <sz val="10.0"/>
      <name val="Arial"/>
    </font>
    <font>
      <u/>
      <sz val="14.0"/>
      <color rgb="FF1155CC"/>
      <name val="Arial"/>
    </font>
    <font>
      <u/>
      <color rgb="FF0000FF"/>
      <name val="Arial"/>
    </font>
    <font>
      <sz val="14.0"/>
      <color rgb="FFFFFFFF"/>
      <name val="Arial"/>
    </font>
    <font>
      <b/>
      <u/>
      <sz val="6.0"/>
      <color rgb="FF1155CC"/>
    </font>
    <font>
      <b/>
      <u/>
      <sz val="18.0"/>
      <name val="Arial"/>
    </font>
    <font>
      <b/>
      <sz val="18.0"/>
      <name val="Arial"/>
    </font>
    <font>
      <color rgb="FFEFEFEF"/>
      <name val="Arial"/>
    </font>
    <font>
      <sz val="10.0"/>
      <color rgb="FFEFEFEF"/>
      <name val="Arial"/>
    </font>
    <font>
      <b/>
      <sz val="11.0"/>
    </font>
    <font>
      <b/>
      <color rgb="FFFFFFFF"/>
      <name val="Arial"/>
    </font>
    <font>
      <b/>
      <sz val="9.0"/>
      <color rgb="FFFFFFFF"/>
      <name val="Arial"/>
    </font>
    <font>
      <b/>
      <name val="Arial"/>
    </font>
    <font>
      <b/>
      <sz val="8.0"/>
      <color rgb="FFFFFFFF"/>
      <name val="Arial"/>
    </font>
    <font>
      <b/>
      <color rgb="FF000000"/>
    </font>
    <font>
      <b/>
      <sz val="11.0"/>
      <color rgb="FFEFEFEF"/>
    </font>
    <font>
      <b/>
      <sz val="11.0"/>
      <color rgb="FF000000"/>
    </font>
    <font>
      <b/>
      <sz val="11.0"/>
      <color rgb="FFFFFFFF"/>
    </font>
    <font>
      <color rgb="FF000000"/>
    </font>
    <font>
      <color rgb="FFEFEFEF"/>
    </font>
    <font>
      <b/>
      <sz val="11.0"/>
      <color rgb="FF000000"/>
      <name val="Arial"/>
    </font>
  </fonts>
  <fills count="77">
    <fill>
      <patternFill patternType="none"/>
    </fill>
    <fill>
      <patternFill patternType="lightGray"/>
    </fill>
    <fill>
      <patternFill patternType="solid">
        <fgColor rgb="FF0B5394"/>
        <bgColor rgb="FF0B5394"/>
      </patternFill>
    </fill>
    <fill>
      <patternFill patternType="solid">
        <fgColor rgb="FF38761D"/>
        <bgColor rgb="FF38761D"/>
      </patternFill>
    </fill>
    <fill>
      <patternFill patternType="solid">
        <fgColor rgb="FF073763"/>
        <bgColor rgb="FF073763"/>
      </patternFill>
    </fill>
    <fill>
      <patternFill patternType="solid">
        <fgColor rgb="FF000000"/>
        <bgColor rgb="FF000000"/>
      </patternFill>
    </fill>
    <fill>
      <patternFill patternType="solid">
        <fgColor rgb="FF2D555E"/>
        <bgColor rgb="FF2D555E"/>
      </patternFill>
    </fill>
    <fill>
      <patternFill patternType="solid">
        <fgColor rgb="FF45818E"/>
        <bgColor rgb="FF45818E"/>
      </patternFill>
    </fill>
    <fill>
      <patternFill patternType="solid">
        <fgColor rgb="FF76A5AF"/>
        <bgColor rgb="FF76A5AF"/>
      </patternFill>
    </fill>
    <fill>
      <patternFill patternType="solid">
        <fgColor rgb="FFD0E0E3"/>
        <bgColor rgb="FFD0E0E3"/>
      </patternFill>
    </fill>
    <fill>
      <patternFill patternType="solid">
        <fgColor rgb="FFA2C4C9"/>
        <bgColor rgb="FFA2C4C9"/>
      </patternFill>
    </fill>
    <fill>
      <patternFill patternType="solid">
        <fgColor rgb="FFCCCCCC"/>
        <bgColor rgb="FFCCCCCC"/>
      </patternFill>
    </fill>
    <fill>
      <patternFill patternType="solid">
        <fgColor rgb="FFF3F3F3"/>
        <bgColor rgb="FFF3F3F3"/>
      </patternFill>
    </fill>
    <fill>
      <patternFill patternType="solid">
        <fgColor rgb="FFFFA6FC"/>
        <bgColor rgb="FFFFA6FC"/>
      </patternFill>
    </fill>
    <fill>
      <patternFill patternType="solid">
        <fgColor rgb="FFFDDCE8"/>
        <bgColor rgb="FFFDDCE8"/>
      </patternFill>
    </fill>
    <fill>
      <patternFill patternType="solid">
        <fgColor rgb="FFFFFFFF"/>
        <bgColor rgb="FFFFFFFF"/>
      </patternFill>
    </fill>
    <fill>
      <patternFill patternType="solid">
        <fgColor rgb="FF6FA8DC"/>
        <bgColor rgb="FF6FA8DC"/>
      </patternFill>
    </fill>
    <fill>
      <patternFill patternType="solid">
        <fgColor rgb="FF9FC5E8"/>
        <bgColor rgb="FF9FC5E8"/>
      </patternFill>
    </fill>
    <fill>
      <patternFill patternType="solid">
        <fgColor rgb="FF6AA84F"/>
        <bgColor rgb="FF6AA84F"/>
      </patternFill>
    </fill>
    <fill>
      <patternFill patternType="solid">
        <fgColor rgb="FF93C47D"/>
        <bgColor rgb="FF93C47D"/>
      </patternFill>
    </fill>
    <fill>
      <patternFill patternType="solid">
        <fgColor rgb="FFE06666"/>
        <bgColor rgb="FFE06666"/>
      </patternFill>
    </fill>
    <fill>
      <patternFill patternType="solid">
        <fgColor rgb="FFEA9999"/>
        <bgColor rgb="FFEA9999"/>
      </patternFill>
    </fill>
    <fill>
      <patternFill patternType="solid">
        <fgColor rgb="FF674EA7"/>
        <bgColor rgb="FF674EA7"/>
      </patternFill>
    </fill>
    <fill>
      <patternFill patternType="solid">
        <fgColor rgb="FF8E7CC3"/>
        <bgColor rgb="FF8E7CC3"/>
      </patternFill>
    </fill>
    <fill>
      <patternFill patternType="solid">
        <fgColor rgb="FFF6B26B"/>
        <bgColor rgb="FFF6B26B"/>
      </patternFill>
    </fill>
    <fill>
      <patternFill patternType="solid">
        <fgColor rgb="FFF9CB9C"/>
        <bgColor rgb="FFF9CB9C"/>
      </patternFill>
    </fill>
    <fill>
      <patternFill patternType="solid">
        <fgColor rgb="FF4C1130"/>
        <bgColor rgb="FF4C1130"/>
      </patternFill>
    </fill>
    <fill>
      <patternFill patternType="solid">
        <fgColor rgb="FFA998D6"/>
        <bgColor rgb="FFA998D6"/>
      </patternFill>
    </fill>
    <fill>
      <patternFill patternType="solid">
        <fgColor rgb="FF2A5C14"/>
        <bgColor rgb="FF2A5C14"/>
      </patternFill>
    </fill>
    <fill>
      <patternFill patternType="solid">
        <fgColor rgb="FF5F173D"/>
        <bgColor rgb="FF5F173D"/>
      </patternFill>
    </fill>
    <fill>
      <patternFill patternType="solid">
        <fgColor rgb="FFC0350B"/>
        <bgColor rgb="FFC0350B"/>
      </patternFill>
    </fill>
    <fill>
      <patternFill patternType="solid">
        <fgColor rgb="FFB6D7A8"/>
        <bgColor rgb="FFB6D7A8"/>
      </patternFill>
    </fill>
    <fill>
      <patternFill patternType="solid">
        <fgColor rgb="FFDB4620"/>
        <bgColor rgb="FFDB4620"/>
      </patternFill>
    </fill>
    <fill>
      <patternFill patternType="solid">
        <fgColor rgb="FFC27BA0"/>
        <bgColor rgb="FFC27BA0"/>
      </patternFill>
    </fill>
    <fill>
      <patternFill patternType="solid">
        <fgColor rgb="FFCF8EB0"/>
        <bgColor rgb="FFCF8EB0"/>
      </patternFill>
    </fill>
    <fill>
      <patternFill patternType="solid">
        <fgColor rgb="FFFFD966"/>
        <bgColor rgb="FFFFD966"/>
      </patternFill>
    </fill>
    <fill>
      <patternFill patternType="solid">
        <fgColor rgb="FFFFE599"/>
        <bgColor rgb="FFFFE599"/>
      </patternFill>
    </fill>
    <fill>
      <patternFill patternType="solid">
        <fgColor rgb="FF923F68"/>
        <bgColor rgb="FF923F68"/>
      </patternFill>
    </fill>
    <fill>
      <patternFill patternType="solid">
        <fgColor rgb="FF7D0F0E"/>
        <bgColor rgb="FF7D0F0E"/>
      </patternFill>
    </fill>
    <fill>
      <patternFill patternType="solid">
        <fgColor rgb="FFA64D79"/>
        <bgColor rgb="FFA64D79"/>
      </patternFill>
    </fill>
    <fill>
      <patternFill patternType="solid">
        <fgColor rgb="FF961A19"/>
        <bgColor rgb="FF961A19"/>
      </patternFill>
    </fill>
    <fill>
      <patternFill patternType="solid">
        <fgColor rgb="FFDD7E6B"/>
        <bgColor rgb="FFDD7E6B"/>
      </patternFill>
    </fill>
    <fill>
      <patternFill patternType="solid">
        <fgColor rgb="FFF09D8C"/>
        <bgColor rgb="FFF09D8C"/>
      </patternFill>
    </fill>
    <fill>
      <patternFill patternType="solid">
        <fgColor rgb="FF380000"/>
        <bgColor rgb="FF380000"/>
      </patternFill>
    </fill>
    <fill>
      <patternFill patternType="solid">
        <fgColor rgb="FF490A0A"/>
        <bgColor rgb="FF490A0A"/>
      </patternFill>
    </fill>
    <fill>
      <patternFill patternType="solid">
        <fgColor rgb="FFA61C00"/>
        <bgColor rgb="FFA61C00"/>
      </patternFill>
    </fill>
    <fill>
      <patternFill patternType="solid">
        <fgColor rgb="FFBD3E24"/>
        <bgColor rgb="FFBD3E24"/>
      </patternFill>
    </fill>
    <fill>
      <patternFill patternType="solid">
        <fgColor rgb="FF200000"/>
        <bgColor rgb="FF200000"/>
      </patternFill>
    </fill>
    <fill>
      <patternFill patternType="solid">
        <fgColor rgb="FFCC4125"/>
        <bgColor rgb="FFCC4125"/>
      </patternFill>
    </fill>
    <fill>
      <patternFill patternType="solid">
        <fgColor rgb="FFCF5C45"/>
        <bgColor rgb="FFCF5C45"/>
      </patternFill>
    </fill>
    <fill>
      <patternFill patternType="solid">
        <fgColor rgb="FFF1BE88"/>
        <bgColor rgb="FFF1BE88"/>
      </patternFill>
    </fill>
    <fill>
      <patternFill patternType="solid">
        <fgColor rgb="FF666666"/>
        <bgColor rgb="FF666666"/>
      </patternFill>
    </fill>
    <fill>
      <patternFill patternType="solid">
        <fgColor rgb="FF858585"/>
        <bgColor rgb="FF858585"/>
      </patternFill>
    </fill>
    <fill>
      <patternFill patternType="solid">
        <fgColor rgb="FF2B6977"/>
        <bgColor rgb="FF2B6977"/>
      </patternFill>
    </fill>
    <fill>
      <patternFill patternType="solid">
        <fgColor rgb="FFDDE9FF"/>
        <bgColor rgb="FFDDE9FF"/>
      </patternFill>
    </fill>
    <fill>
      <patternFill patternType="solid">
        <fgColor rgb="FF434343"/>
        <bgColor rgb="FF434343"/>
      </patternFill>
    </fill>
    <fill>
      <patternFill patternType="solid">
        <fgColor rgb="FFF0F6FF"/>
        <bgColor rgb="FFF0F6FF"/>
      </patternFill>
    </fill>
    <fill>
      <patternFill patternType="solid">
        <fgColor rgb="FF585858"/>
        <bgColor rgb="FF585858"/>
      </patternFill>
    </fill>
    <fill>
      <patternFill patternType="solid">
        <fgColor rgb="FFE69138"/>
        <bgColor rgb="FFE69138"/>
      </patternFill>
    </fill>
    <fill>
      <patternFill patternType="solid">
        <fgColor rgb="FFF5AA5D"/>
        <bgColor rgb="FFF5AA5D"/>
      </patternFill>
    </fill>
    <fill>
      <patternFill patternType="solid">
        <fgColor rgb="FF052643"/>
        <bgColor rgb="FF052643"/>
      </patternFill>
    </fill>
    <fill>
      <patternFill patternType="solid">
        <fgColor rgb="FF0E3252"/>
        <bgColor rgb="FF0E3252"/>
      </patternFill>
    </fill>
    <fill>
      <patternFill patternType="solid">
        <fgColor rgb="FF0C343D"/>
        <bgColor rgb="FF0C343D"/>
      </patternFill>
    </fill>
    <fill>
      <patternFill patternType="solid">
        <fgColor rgb="FF134F5C"/>
        <bgColor rgb="FF134F5C"/>
      </patternFill>
    </fill>
    <fill>
      <patternFill patternType="solid">
        <fgColor rgb="FFA0A0A0"/>
        <bgColor rgb="FFA0A0A0"/>
      </patternFill>
    </fill>
    <fill>
      <patternFill patternType="solid">
        <fgColor rgb="FF914900"/>
        <bgColor rgb="FF914900"/>
      </patternFill>
    </fill>
    <fill>
      <patternFill patternType="solid">
        <fgColor rgb="FFB7B7B7"/>
        <bgColor rgb="FFB7B7B7"/>
      </patternFill>
    </fill>
    <fill>
      <patternFill patternType="solid">
        <fgColor rgb="FFB45F06"/>
        <bgColor rgb="FFB45F06"/>
      </patternFill>
    </fill>
    <fill>
      <patternFill patternType="solid">
        <fgColor rgb="FF2D5CAD"/>
        <bgColor rgb="FF2D5CAD"/>
      </patternFill>
    </fill>
    <fill>
      <patternFill patternType="solid">
        <fgColor rgb="FF4572C0"/>
        <bgColor rgb="FF4572C0"/>
      </patternFill>
    </fill>
    <fill>
      <patternFill patternType="solid">
        <fgColor rgb="FFD9D9D9"/>
        <bgColor rgb="FFD9D9D9"/>
      </patternFill>
    </fill>
    <fill>
      <patternFill patternType="solid">
        <fgColor rgb="FFEFEFEF"/>
        <bgColor rgb="FFEFEFEF"/>
      </patternFill>
    </fill>
    <fill>
      <patternFill patternType="solid">
        <fgColor rgb="FF87C06D"/>
        <bgColor rgb="FF87C06D"/>
      </patternFill>
    </fill>
    <fill>
      <patternFill patternType="solid">
        <fgColor rgb="FFFFE081"/>
        <bgColor rgb="FFFFE081"/>
      </patternFill>
    </fill>
    <fill>
      <patternFill patternType="solid">
        <fgColor rgb="FF741B47"/>
        <bgColor rgb="FF741B47"/>
      </patternFill>
    </fill>
    <fill>
      <patternFill patternType="solid">
        <fgColor rgb="FF924D05"/>
        <bgColor rgb="FF924D05"/>
      </patternFill>
    </fill>
    <fill>
      <patternFill patternType="solid">
        <fgColor rgb="FF680A0A"/>
        <bgColor rgb="FF680A0A"/>
      </patternFill>
    </fill>
  </fills>
  <borders count="62">
    <border/>
    <border>
      <right style="thin">
        <color rgb="FF000000"/>
      </right>
    </border>
    <border>
      <left style="thin">
        <color rgb="FF000000"/>
      </lef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bottom style="thin">
        <color rgb="FF000000"/>
      </bottom>
    </border>
    <border>
      <right style="thin">
        <color rgb="FF000000"/>
      </right>
      <top style="thin">
        <color rgb="FF000000"/>
      </top>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top style="thin">
        <color rgb="FF000000"/>
      </top>
    </border>
    <border>
      <left style="thin">
        <color rgb="FF000000"/>
      </left>
      <right style="thin">
        <color rgb="FF000000"/>
      </right>
      <bottom style="thin">
        <color rgb="FF000000"/>
      </bottom>
    </border>
    <border>
      <left style="thin">
        <color rgb="FFEFEFEF"/>
      </left>
      <right style="thin">
        <color rgb="FFEFEFEF"/>
      </right>
    </border>
    <border>
      <left style="thin">
        <color rgb="FFEFEFEF"/>
      </left>
    </border>
    <border>
      <right style="thin">
        <color rgb="FFEFEFEF"/>
      </right>
    </border>
    <border>
      <left style="thin">
        <color rgb="FFEFEFEF"/>
      </left>
      <right style="thin">
        <color rgb="FFEFEFEF"/>
      </right>
      <bottom style="thin">
        <color rgb="FF000000"/>
      </bottom>
    </border>
    <border>
      <left style="thin">
        <color rgb="FFEFEFEF"/>
      </left>
      <bottom style="thin">
        <color rgb="FF000000"/>
      </bottom>
    </border>
    <border>
      <right style="thin">
        <color rgb="FFEFEFEF"/>
      </right>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bottom style="thick">
        <color rgb="FF000000"/>
      </bottom>
    </border>
    <border>
      <right style="thick">
        <color rgb="FF000000"/>
      </right>
      <top style="thick">
        <color rgb="FF000000"/>
      </top>
      <bottom style="thick">
        <color rgb="FF000000"/>
      </bottom>
    </border>
    <border>
      <bottom style="thick">
        <color rgb="FF000000"/>
      </bottom>
    </border>
    <border>
      <left style="thick">
        <color rgb="FF000000"/>
      </left>
      <bottom style="thick">
        <color rgb="FF000000"/>
      </bottom>
    </border>
    <border>
      <right style="medium">
        <color rgb="FF000000"/>
      </right>
    </border>
    <border>
      <right style="thick">
        <color rgb="FF000000"/>
      </right>
      <top style="thick">
        <color rgb="FF000000"/>
      </top>
    </border>
    <border>
      <right style="thick">
        <color rgb="FF000000"/>
      </right>
      <bottom style="thin">
        <color rgb="FF000000"/>
      </bottom>
    </border>
    <border>
      <left style="thick">
        <color rgb="FF000000"/>
      </left>
      <bottom style="thin">
        <color rgb="FF000000"/>
      </bottom>
    </border>
    <border>
      <top style="thin">
        <color rgb="FF000000"/>
      </top>
      <bottom style="thick">
        <color rgb="FF000000"/>
      </bottom>
    </border>
    <border>
      <left style="thick">
        <color rgb="FF000000"/>
      </left>
    </border>
    <border>
      <right style="thick">
        <color rgb="FF000000"/>
      </right>
      <top style="thin">
        <color rgb="FF000000"/>
      </top>
      <bottom style="thick">
        <color rgb="FF000000"/>
      </bottom>
    </border>
    <border>
      <left style="thick">
        <color rgb="FF000000"/>
      </left>
      <top style="thin">
        <color rgb="FF000000"/>
      </top>
      <bottom style="thick">
        <color rgb="FF000000"/>
      </bottom>
    </border>
    <border>
      <left style="medium">
        <color rgb="FF000000"/>
      </left>
    </border>
    <border>
      <right style="medium">
        <color rgb="FF000000"/>
      </right>
      <bottom style="medium">
        <color rgb="FF000000"/>
      </bottom>
    </border>
    <border>
      <right style="thick">
        <color rgb="FF000000"/>
      </right>
    </border>
    <border>
      <right style="thick">
        <color rgb="FF000000"/>
      </right>
      <top style="thin">
        <color rgb="FF000000"/>
      </top>
    </border>
    <border>
      <left style="thick">
        <color rgb="FF000000"/>
      </left>
      <top style="thin">
        <color rgb="FF000000"/>
      </top>
    </border>
    <border>
      <top style="medium">
        <color rgb="FF000000"/>
      </top>
    </border>
    <border>
      <right style="medium">
        <color rgb="FF000000"/>
      </right>
      <top style="medium">
        <color rgb="FF000000"/>
      </top>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ck">
        <color rgb="FF000000"/>
      </top>
      <bottom style="thin">
        <color rgb="FF000000"/>
      </bottom>
    </border>
    <border>
      <left style="medium">
        <color rgb="FF000000"/>
      </left>
      <bottom style="medium">
        <color rgb="FF000000"/>
      </bottom>
    </border>
    <border>
      <top style="thin">
        <color rgb="FF000000"/>
      </top>
      <bottom style="medium">
        <color rgb="FF000000"/>
      </bottom>
    </border>
    <border>
      <right style="thick">
        <color rgb="FF000000"/>
      </right>
      <top style="thin">
        <color rgb="FF000000"/>
      </top>
      <bottom style="medium">
        <color rgb="FF000000"/>
      </bottom>
    </border>
    <border>
      <left style="thick">
        <color rgb="FF000000"/>
      </left>
      <top style="thin">
        <color rgb="FF000000"/>
      </top>
      <bottom style="medium">
        <color rgb="FF000000"/>
      </bottom>
    </border>
    <border>
      <left style="thick">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left style="thick">
        <color rgb="FF000000"/>
      </left>
      <top style="medium">
        <color rgb="FF000000"/>
      </top>
    </border>
    <border>
      <right style="thick">
        <color rgb="FF000000"/>
      </right>
      <top style="medium">
        <color rgb="FF000000"/>
      </top>
    </border>
    <border>
      <left style="thick">
        <color rgb="FF000000"/>
      </left>
      <bottom style="medium">
        <color rgb="FF000000"/>
      </bottom>
    </border>
    <border>
      <right style="thick">
        <color rgb="FF000000"/>
      </right>
      <bottom style="medium">
        <color rgb="FF000000"/>
      </bottom>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s>
  <cellStyleXfs count="1">
    <xf borderId="0" fillId="0" fontId="0" numFmtId="0" applyAlignment="1" applyFont="1"/>
  </cellStyleXfs>
  <cellXfs count="1207">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2" fontId="2" numFmtId="0" xfId="0" applyAlignment="1" applyFill="1" applyFont="1">
      <alignment horizontal="center" vertical="bottom"/>
    </xf>
    <xf borderId="1" fillId="2" fontId="3" numFmtId="0" xfId="0" applyAlignment="1" applyBorder="1" applyFont="1">
      <alignment vertical="bottom"/>
    </xf>
    <xf borderId="2" fillId="3" fontId="3" numFmtId="0" xfId="0" applyAlignment="1" applyBorder="1" applyFill="1" applyFont="1">
      <alignment horizontal="center" readingOrder="0" vertical="bottom"/>
    </xf>
    <xf borderId="3" fillId="2" fontId="4" numFmtId="0" xfId="0" applyAlignment="1" applyBorder="1" applyFont="1">
      <alignment horizontal="center" shrinkToFit="0" wrapText="1"/>
    </xf>
    <xf borderId="4" fillId="0" fontId="5" numFmtId="0" xfId="0" applyBorder="1" applyFont="1"/>
    <xf borderId="3" fillId="0" fontId="5" numFmtId="0" xfId="0" applyBorder="1" applyFont="1"/>
    <xf borderId="0" fillId="2" fontId="3" numFmtId="0" xfId="0" applyAlignment="1" applyFont="1">
      <alignment vertical="bottom"/>
    </xf>
    <xf borderId="1" fillId="0" fontId="5" numFmtId="0" xfId="0" applyBorder="1" applyFont="1"/>
    <xf borderId="0" fillId="4" fontId="5" numFmtId="0" xfId="0" applyAlignment="1" applyFill="1" applyFont="1">
      <alignment readingOrder="0"/>
    </xf>
    <xf borderId="0" fillId="2" fontId="6" numFmtId="0" xfId="0" applyAlignment="1" applyFont="1">
      <alignment vertical="bottom"/>
    </xf>
    <xf borderId="1" fillId="4" fontId="6" numFmtId="0" xfId="0" applyAlignment="1" applyBorder="1" applyFont="1">
      <alignment vertical="bottom"/>
    </xf>
    <xf borderId="5" fillId="2" fontId="3" numFmtId="0" xfId="0" applyAlignment="1" applyBorder="1" applyFont="1">
      <alignment shrinkToFit="0" wrapText="1"/>
    </xf>
    <xf borderId="6" fillId="2" fontId="3" numFmtId="0" xfId="0" applyAlignment="1" applyBorder="1" applyFont="1">
      <alignment horizontal="right" vertical="bottom"/>
    </xf>
    <xf borderId="7" fillId="3" fontId="3" numFmtId="164" xfId="0" applyAlignment="1" applyBorder="1" applyFont="1" applyNumberFormat="1">
      <alignment horizontal="center" shrinkToFit="0" wrapText="1"/>
    </xf>
    <xf borderId="8" fillId="0" fontId="5" numFmtId="0" xfId="0" applyBorder="1" applyFont="1"/>
    <xf borderId="0" fillId="2" fontId="5" numFmtId="0" xfId="0" applyAlignment="1" applyFont="1">
      <alignment shrinkToFit="0" vertical="center" wrapText="1"/>
    </xf>
    <xf borderId="0" fillId="2" fontId="6" numFmtId="0" xfId="0" applyAlignment="1" applyFont="1">
      <alignment vertical="bottom"/>
    </xf>
    <xf borderId="9" fillId="2" fontId="3" numFmtId="0" xfId="0" applyAlignment="1" applyBorder="1" applyFont="1">
      <alignment horizontal="center" readingOrder="0" vertical="bottom"/>
    </xf>
    <xf borderId="0" fillId="5" fontId="7" numFmtId="0" xfId="0" applyAlignment="1" applyFill="1" applyFont="1">
      <alignment readingOrder="0" shrinkToFit="0" vertical="center" wrapText="1"/>
    </xf>
    <xf borderId="0" fillId="4" fontId="6" numFmtId="0" xfId="0" applyAlignment="1" applyFont="1">
      <alignment vertical="bottom"/>
    </xf>
    <xf borderId="0" fillId="5" fontId="6" numFmtId="0" xfId="0" applyAlignment="1" applyFont="1">
      <alignment vertical="bottom"/>
    </xf>
    <xf borderId="0" fillId="5" fontId="6" numFmtId="0" xfId="0" applyAlignment="1" applyFont="1">
      <alignment vertical="bottom"/>
    </xf>
    <xf borderId="5" fillId="2" fontId="3" numFmtId="0" xfId="0" applyAlignment="1" applyBorder="1" applyFont="1">
      <alignment horizontal="right" vertical="bottom"/>
    </xf>
    <xf borderId="0" fillId="2" fontId="3" numFmtId="0" xfId="0" applyAlignment="1" applyFont="1">
      <alignment shrinkToFit="0" wrapText="1"/>
    </xf>
    <xf borderId="7" fillId="0" fontId="5" numFmtId="0" xfId="0" applyBorder="1" applyFont="1"/>
    <xf borderId="0" fillId="2" fontId="8" numFmtId="0" xfId="0" applyAlignment="1" applyFont="1">
      <alignment horizontal="center" readingOrder="0" shrinkToFit="0" vertical="center" wrapText="1"/>
    </xf>
    <xf borderId="3" fillId="2" fontId="3" numFmtId="0" xfId="0" applyAlignment="1" applyBorder="1" applyFont="1">
      <alignment horizontal="center" readingOrder="0" vertical="bottom"/>
    </xf>
    <xf borderId="0" fillId="4" fontId="5" numFmtId="0" xfId="0" applyFont="1"/>
    <xf borderId="10" fillId="2" fontId="3" numFmtId="0" xfId="0" applyAlignment="1" applyBorder="1" applyFont="1">
      <alignment horizontal="center" vertical="bottom"/>
    </xf>
    <xf borderId="2" fillId="2" fontId="7" numFmtId="0" xfId="0" applyAlignment="1" applyBorder="1" applyFont="1">
      <alignment readingOrder="0" shrinkToFit="0" vertical="center" wrapText="1"/>
    </xf>
    <xf borderId="0" fillId="2" fontId="3" numFmtId="0" xfId="0" applyAlignment="1" applyFont="1">
      <alignment shrinkToFit="0" wrapText="0"/>
    </xf>
    <xf borderId="7" fillId="3" fontId="3" numFmtId="165" xfId="0" applyAlignment="1" applyBorder="1" applyFont="1" applyNumberFormat="1">
      <alignment horizontal="center" readingOrder="0" shrinkToFit="0" wrapText="1"/>
    </xf>
    <xf quotePrefix="1" borderId="4" fillId="3" fontId="7" numFmtId="0" xfId="0" applyAlignment="1" applyBorder="1" applyFont="1">
      <alignment horizontal="center" readingOrder="0" shrinkToFit="0" vertical="center" wrapText="1"/>
    </xf>
    <xf borderId="2" fillId="2" fontId="3" numFmtId="0" xfId="0" applyAlignment="1" applyBorder="1" applyFont="1">
      <alignment horizontal="center" vertical="bottom"/>
    </xf>
    <xf borderId="0" fillId="2" fontId="9" numFmtId="0" xfId="0" applyAlignment="1" applyFont="1">
      <alignment readingOrder="0" shrinkToFit="0" vertical="center" wrapText="1"/>
    </xf>
    <xf borderId="9" fillId="0" fontId="5" numFmtId="0" xfId="0" applyBorder="1" applyFont="1"/>
    <xf borderId="0" fillId="2" fontId="3" numFmtId="0" xfId="0" applyAlignment="1" applyFont="1">
      <alignment readingOrder="0" vertical="bottom"/>
    </xf>
    <xf borderId="0" fillId="2" fontId="3" numFmtId="0" xfId="0" applyAlignment="1" applyFont="1">
      <alignment vertical="bottom"/>
    </xf>
    <xf borderId="0" fillId="5" fontId="7" numFmtId="0" xfId="0" applyAlignment="1" applyFont="1">
      <alignment shrinkToFit="0" vertical="center" wrapText="1"/>
    </xf>
    <xf borderId="0" fillId="2" fontId="7" numFmtId="0" xfId="0" applyAlignment="1" applyFont="1">
      <alignment readingOrder="0" shrinkToFit="0" vertical="center" wrapText="1"/>
    </xf>
    <xf borderId="10" fillId="2" fontId="3" numFmtId="49" xfId="0" applyAlignment="1" applyBorder="1" applyFont="1" applyNumberFormat="1">
      <alignment horizontal="center" readingOrder="0" vertical="bottom"/>
    </xf>
    <xf borderId="2" fillId="2" fontId="3" numFmtId="0" xfId="0" applyAlignment="1" applyBorder="1" applyFont="1">
      <alignment readingOrder="0" vertical="bottom"/>
    </xf>
    <xf borderId="0" fillId="2" fontId="3" numFmtId="0" xfId="0" applyAlignment="1" applyFont="1">
      <alignment readingOrder="0" shrinkToFit="0" wrapText="1"/>
    </xf>
    <xf borderId="2" fillId="2" fontId="3" numFmtId="0" xfId="0" applyAlignment="1" applyBorder="1" applyFont="1">
      <alignment readingOrder="0" shrinkToFit="0" vertical="bottom" wrapText="1"/>
    </xf>
    <xf borderId="10" fillId="2" fontId="3" numFmtId="0" xfId="0" applyAlignment="1" applyBorder="1" applyFont="1">
      <alignment horizontal="center" readingOrder="0" vertical="bottom"/>
    </xf>
    <xf borderId="0" fillId="2" fontId="3" numFmtId="0" xfId="0" applyAlignment="1" applyFont="1">
      <alignment shrinkToFit="0" wrapText="0"/>
    </xf>
    <xf borderId="10" fillId="2" fontId="3" numFmtId="165" xfId="0" applyAlignment="1" applyBorder="1" applyFont="1" applyNumberFormat="1">
      <alignment horizontal="center" readingOrder="0" vertical="bottom"/>
    </xf>
    <xf borderId="0" fillId="2" fontId="3" numFmtId="0" xfId="0" applyAlignment="1" applyFont="1">
      <alignment shrinkToFit="0" wrapText="1"/>
    </xf>
    <xf borderId="0" fillId="2" fontId="7" numFmtId="0" xfId="0" applyAlignment="1" applyFont="1">
      <alignment readingOrder="0" shrinkToFit="0" vertical="center" wrapText="0"/>
    </xf>
    <xf quotePrefix="1" borderId="10" fillId="2" fontId="3" numFmtId="0" xfId="0" applyAlignment="1" applyBorder="1" applyFont="1">
      <alignment horizontal="center" readingOrder="0" vertical="bottom"/>
    </xf>
    <xf borderId="0" fillId="2" fontId="3" numFmtId="0" xfId="0" applyAlignment="1" applyFont="1">
      <alignment readingOrder="0" shrinkToFit="0" wrapText="0"/>
    </xf>
    <xf quotePrefix="1" borderId="0" fillId="2" fontId="3" numFmtId="0" xfId="0" applyAlignment="1" applyFont="1">
      <alignment readingOrder="0" shrinkToFit="0" wrapText="1"/>
    </xf>
    <xf quotePrefix="1" borderId="10" fillId="2" fontId="3" numFmtId="49" xfId="0" applyAlignment="1" applyBorder="1" applyFont="1" applyNumberFormat="1">
      <alignment horizontal="center" readingOrder="0" vertical="bottom"/>
    </xf>
    <xf borderId="0" fillId="2" fontId="3" numFmtId="0" xfId="0" applyAlignment="1" applyFont="1">
      <alignment horizontal="left" vertical="bottom"/>
    </xf>
    <xf quotePrefix="1" borderId="0" fillId="2" fontId="3" numFmtId="0" xfId="0" applyAlignment="1" applyFont="1">
      <alignment shrinkToFit="0" wrapText="1"/>
    </xf>
    <xf borderId="0" fillId="2" fontId="7" numFmtId="0" xfId="0" applyAlignment="1" applyFont="1">
      <alignment shrinkToFit="0" vertical="center" wrapText="1"/>
    </xf>
    <xf borderId="2" fillId="2" fontId="10" numFmtId="0" xfId="0" applyAlignment="1" applyBorder="1" applyFont="1">
      <alignment horizontal="center" readingOrder="0" vertical="bottom"/>
    </xf>
    <xf borderId="0" fillId="2" fontId="7" numFmtId="0" xfId="0" applyAlignment="1" applyFont="1">
      <alignment readingOrder="0" shrinkToFit="0" vertical="center" wrapText="1"/>
    </xf>
    <xf borderId="0" fillId="2" fontId="11" numFmtId="0" xfId="0" applyAlignment="1" applyFont="1">
      <alignment readingOrder="0" shrinkToFit="0" vertical="center" wrapText="1"/>
    </xf>
    <xf borderId="3" fillId="2" fontId="4" numFmtId="0" xfId="0" applyAlignment="1" applyBorder="1" applyFont="1">
      <alignment horizontal="center" readingOrder="0" shrinkToFit="0" wrapText="1"/>
    </xf>
    <xf borderId="7" fillId="3" fontId="3" numFmtId="0" xfId="0" applyAlignment="1" applyBorder="1" applyFont="1">
      <alignment horizontal="center" readingOrder="0" shrinkToFit="0" wrapText="1"/>
    </xf>
    <xf borderId="0" fillId="2" fontId="7" numFmtId="10" xfId="0" applyAlignment="1" applyFont="1" applyNumberFormat="1">
      <alignment shrinkToFit="0" vertical="center" wrapText="1"/>
    </xf>
    <xf borderId="0" fillId="2" fontId="3" numFmtId="0" xfId="0" applyAlignment="1" applyFont="1">
      <alignment readingOrder="0" shrinkToFit="0" wrapText="1"/>
    </xf>
    <xf borderId="0" fillId="2" fontId="12" numFmtId="0" xfId="0" applyAlignment="1" applyFont="1">
      <alignment readingOrder="0" shrinkToFit="0" vertical="center" wrapText="1"/>
    </xf>
    <xf borderId="0" fillId="2" fontId="7" numFmtId="0" xfId="0" applyAlignment="1" applyFont="1">
      <alignment horizontal="left" readingOrder="0" shrinkToFit="0" vertical="center" wrapText="1"/>
    </xf>
    <xf borderId="4" fillId="3" fontId="7" numFmtId="0" xfId="0" applyAlignment="1" applyBorder="1" applyFont="1">
      <alignment horizontal="center" readingOrder="0" shrinkToFit="0" vertical="center" wrapText="1"/>
    </xf>
    <xf borderId="3" fillId="2" fontId="4" numFmtId="0" xfId="0" applyAlignment="1" applyBorder="1" applyFont="1">
      <alignment horizontal="center" shrinkToFit="0" wrapText="1"/>
    </xf>
    <xf borderId="5" fillId="2" fontId="3" numFmtId="0" xfId="0" applyAlignment="1" applyBorder="1" applyFont="1">
      <alignment shrinkToFit="0" wrapText="1"/>
    </xf>
    <xf borderId="0" fillId="2" fontId="13" numFmtId="0" xfId="0" applyAlignment="1" applyFont="1">
      <alignment shrinkToFit="0" wrapText="1"/>
    </xf>
    <xf borderId="0" fillId="5" fontId="3" numFmtId="0" xfId="0" applyAlignment="1" applyFont="1">
      <alignment shrinkToFit="0" wrapText="1"/>
    </xf>
    <xf borderId="0" fillId="5" fontId="13" numFmtId="0" xfId="0" applyAlignment="1" applyFont="1">
      <alignment readingOrder="0" vertical="bottom"/>
    </xf>
    <xf borderId="0" fillId="5" fontId="3" numFmtId="0" xfId="0" applyAlignment="1" applyFont="1">
      <alignment readingOrder="0" shrinkToFit="0" wrapText="1"/>
    </xf>
    <xf borderId="0" fillId="2" fontId="7" numFmtId="0" xfId="0" applyAlignment="1" applyFont="1">
      <alignment readingOrder="0" shrinkToFit="0" vertical="center" wrapText="0"/>
    </xf>
    <xf borderId="0" fillId="2" fontId="4" numFmtId="0" xfId="0" applyAlignment="1" applyFont="1">
      <alignment horizontal="center" vertical="bottom"/>
    </xf>
    <xf borderId="2" fillId="2" fontId="3" numFmtId="0" xfId="0" applyAlignment="1" applyBorder="1" applyFont="1">
      <alignment vertical="bottom"/>
    </xf>
    <xf borderId="9" fillId="3" fontId="3" numFmtId="0" xfId="0" applyAlignment="1" applyBorder="1" applyFont="1">
      <alignment horizontal="center" readingOrder="0" vertical="bottom"/>
    </xf>
    <xf borderId="11" fillId="2" fontId="6" numFmtId="0" xfId="0" applyAlignment="1" applyBorder="1" applyFont="1">
      <alignment vertical="bottom"/>
    </xf>
    <xf borderId="0" fillId="2" fontId="3" numFmtId="0" xfId="0" applyAlignment="1" applyFont="1">
      <alignment shrinkToFit="0" vertical="bottom" wrapText="1"/>
    </xf>
    <xf borderId="0" fillId="2" fontId="3" numFmtId="0" xfId="0" applyAlignment="1" applyFont="1">
      <alignment readingOrder="0" shrinkToFit="0" vertical="bottom" wrapText="1"/>
    </xf>
    <xf borderId="4" fillId="3" fontId="3" numFmtId="164" xfId="0" applyAlignment="1" applyBorder="1" applyFont="1" applyNumberFormat="1">
      <alignment horizontal="center" vertical="bottom"/>
    </xf>
    <xf quotePrefix="1" borderId="0" fillId="2" fontId="7" numFmtId="0" xfId="0" applyAlignment="1" applyFont="1">
      <alignment readingOrder="0" shrinkToFit="0" vertical="center" wrapText="1"/>
    </xf>
    <xf borderId="0" fillId="2" fontId="6" numFmtId="0" xfId="0" applyAlignment="1" applyFont="1">
      <alignment readingOrder="0" vertical="bottom"/>
    </xf>
    <xf borderId="0" fillId="2" fontId="14" numFmtId="0" xfId="0" applyAlignment="1" applyFont="1">
      <alignment readingOrder="0" shrinkToFit="0" wrapText="1"/>
    </xf>
    <xf borderId="5" fillId="2" fontId="3" numFmtId="0" xfId="0" applyAlignment="1" applyBorder="1" applyFont="1">
      <alignment vertical="bottom"/>
    </xf>
    <xf borderId="7" fillId="3" fontId="3" numFmtId="164" xfId="0" applyAlignment="1" applyBorder="1" applyFont="1" applyNumberFormat="1">
      <alignment horizontal="center" vertical="bottom"/>
    </xf>
    <xf borderId="0" fillId="5" fontId="6" numFmtId="0" xfId="0" applyAlignment="1" applyFont="1">
      <alignment readingOrder="0" vertical="bottom"/>
    </xf>
    <xf borderId="11" fillId="6" fontId="15" numFmtId="0" xfId="0" applyAlignment="1" applyBorder="1" applyFill="1" applyFont="1">
      <alignment horizontal="center" readingOrder="0" vertical="center"/>
    </xf>
    <xf borderId="0" fillId="5" fontId="6" numFmtId="0" xfId="0" applyAlignment="1" applyFont="1">
      <alignment vertical="bottom"/>
    </xf>
    <xf borderId="11" fillId="5" fontId="6" numFmtId="0" xfId="0" applyAlignment="1" applyBorder="1" applyFont="1">
      <alignment vertical="center"/>
    </xf>
    <xf borderId="0" fillId="5" fontId="6" numFmtId="0" xfId="0" applyAlignment="1" applyFont="1">
      <alignment vertical="center"/>
    </xf>
    <xf borderId="2" fillId="7" fontId="16" numFmtId="0" xfId="0" applyAlignment="1" applyBorder="1" applyFill="1" applyFont="1">
      <alignment horizontal="center" readingOrder="0" vertical="center"/>
    </xf>
    <xf borderId="0" fillId="5" fontId="17" numFmtId="0" xfId="0" applyAlignment="1" applyFont="1">
      <alignment horizontal="center" readingOrder="0"/>
    </xf>
    <xf borderId="2" fillId="7" fontId="17" numFmtId="0" xfId="0" applyAlignment="1" applyBorder="1" applyFont="1">
      <alignment horizontal="center" readingOrder="0" shrinkToFit="0" vertical="center" wrapText="1"/>
    </xf>
    <xf borderId="0" fillId="5" fontId="18" numFmtId="0" xfId="0" applyAlignment="1" applyFont="1">
      <alignment horizontal="center" readingOrder="0" shrinkToFit="0" wrapText="1"/>
    </xf>
    <xf borderId="2" fillId="8" fontId="18" numFmtId="0" xfId="0" applyAlignment="1" applyBorder="1" applyFill="1" applyFont="1">
      <alignment horizontal="center" readingOrder="0" shrinkToFit="0" vertical="center" wrapText="1"/>
    </xf>
    <xf borderId="2" fillId="9" fontId="19" numFmtId="0" xfId="0" applyAlignment="1" applyBorder="1" applyFill="1" applyFont="1">
      <alignment horizontal="center" readingOrder="0" vertical="center"/>
    </xf>
    <xf borderId="0" fillId="5" fontId="1" numFmtId="0" xfId="0" applyAlignment="1" applyFont="1">
      <alignment horizontal="center" readingOrder="0"/>
    </xf>
    <xf borderId="10" fillId="10" fontId="1" numFmtId="0" xfId="0" applyAlignment="1" applyBorder="1" applyFill="1" applyFont="1">
      <alignment horizontal="center" readingOrder="0" shrinkToFit="0" vertical="center" wrapText="1"/>
    </xf>
    <xf borderId="0" fillId="5" fontId="5" numFmtId="0" xfId="0" applyAlignment="1" applyFont="1">
      <alignment horizontal="center"/>
    </xf>
    <xf borderId="11" fillId="7" fontId="6" numFmtId="0" xfId="0" applyAlignment="1" applyBorder="1" applyFont="1">
      <alignment readingOrder="0" vertical="center"/>
    </xf>
    <xf borderId="11" fillId="9" fontId="5" numFmtId="166" xfId="0" applyAlignment="1" applyBorder="1" applyFont="1" applyNumberFormat="1">
      <alignment horizontal="center" readingOrder="0" shrinkToFit="0" vertical="center" wrapText="1"/>
    </xf>
    <xf borderId="5" fillId="9" fontId="20" numFmtId="0" xfId="0" applyAlignment="1" applyBorder="1" applyFont="1">
      <alignment horizontal="center" vertical="center"/>
    </xf>
    <xf borderId="0" fillId="9" fontId="21" numFmtId="0" xfId="0" applyAlignment="1" applyFont="1">
      <alignment horizontal="center" readingOrder="0" shrinkToFit="0" vertical="center" wrapText="1"/>
    </xf>
    <xf borderId="0" fillId="9" fontId="5" numFmtId="0" xfId="0" applyAlignment="1" applyFont="1">
      <alignment horizontal="center" readingOrder="0" shrinkToFit="0" vertical="center" wrapText="1"/>
    </xf>
    <xf borderId="11" fillId="7" fontId="6" numFmtId="0" xfId="0" applyAlignment="1" applyBorder="1" applyFont="1">
      <alignment vertical="center"/>
    </xf>
    <xf borderId="0" fillId="9" fontId="22" numFmtId="0" xfId="0" applyAlignment="1" applyFont="1">
      <alignment horizontal="center" readingOrder="0" shrinkToFit="0" vertical="center" wrapText="1"/>
    </xf>
    <xf borderId="1" fillId="9" fontId="5" numFmtId="49" xfId="0" applyAlignment="1" applyBorder="1" applyFont="1" applyNumberFormat="1">
      <alignment horizontal="center" readingOrder="0" shrinkToFit="0" vertical="center" wrapText="1"/>
    </xf>
    <xf borderId="0" fillId="5" fontId="23" numFmtId="0" xfId="0" applyAlignment="1" applyFont="1">
      <alignment horizontal="center" readingOrder="0" shrinkToFit="0" vertical="center" wrapText="1"/>
    </xf>
    <xf borderId="5" fillId="9" fontId="24" numFmtId="0" xfId="0" applyAlignment="1" applyBorder="1" applyFont="1">
      <alignment horizontal="center" vertical="center"/>
    </xf>
    <xf borderId="12" fillId="5" fontId="23" numFmtId="0" xfId="0" applyAlignment="1" applyBorder="1" applyFont="1">
      <alignment horizontal="center" readingOrder="0" shrinkToFit="0" vertical="center" wrapText="1"/>
    </xf>
    <xf borderId="1" fillId="9" fontId="5" numFmtId="166" xfId="0" applyAlignment="1" applyBorder="1" applyFont="1" applyNumberFormat="1">
      <alignment horizontal="center" readingOrder="0" shrinkToFit="0" vertical="center" wrapText="1"/>
    </xf>
    <xf borderId="0" fillId="5" fontId="23" numFmtId="0" xfId="0" applyAlignment="1" applyFont="1">
      <alignment horizontal="center" shrinkToFit="0" vertical="center" wrapText="1"/>
    </xf>
    <xf borderId="11" fillId="7" fontId="3" numFmtId="0" xfId="0" applyAlignment="1" applyBorder="1" applyFont="1">
      <alignment horizontal="center" readingOrder="0" vertical="center"/>
    </xf>
    <xf borderId="13" fillId="5" fontId="6" numFmtId="0" xfId="0" applyAlignment="1" applyBorder="1" applyFont="1">
      <alignment vertical="bottom"/>
    </xf>
    <xf borderId="11" fillId="5" fontId="23" numFmtId="0" xfId="0" applyAlignment="1" applyBorder="1" applyFont="1">
      <alignment horizontal="center" shrinkToFit="0" vertical="center" wrapText="1"/>
    </xf>
    <xf borderId="14" fillId="9" fontId="25" numFmtId="0" xfId="0" applyAlignment="1" applyBorder="1" applyFont="1">
      <alignment horizontal="center" vertical="center"/>
    </xf>
    <xf borderId="12" fillId="0" fontId="5" numFmtId="0" xfId="0" applyBorder="1" applyFont="1"/>
    <xf borderId="14" fillId="9" fontId="26" numFmtId="0" xfId="0" applyAlignment="1" applyBorder="1" applyFont="1">
      <alignment horizontal="center" vertical="center"/>
    </xf>
    <xf borderId="1" fillId="5" fontId="23" numFmtId="0" xfId="0" applyAlignment="1" applyBorder="1" applyFont="1">
      <alignment horizontal="center" shrinkToFit="0" vertical="center" wrapText="1"/>
    </xf>
    <xf borderId="9" fillId="11" fontId="27" numFmtId="0" xfId="0" applyAlignment="1" applyBorder="1" applyFill="1" applyFont="1">
      <alignment horizontal="center" readingOrder="0" shrinkToFit="0" vertical="center" wrapText="1"/>
    </xf>
    <xf borderId="15" fillId="9" fontId="28" numFmtId="0" xfId="0" applyAlignment="1" applyBorder="1" applyFont="1">
      <alignment horizontal="center" vertical="center"/>
    </xf>
    <xf borderId="0" fillId="2" fontId="6" numFmtId="10" xfId="0" applyAlignment="1" applyFont="1" applyNumberFormat="1">
      <alignment vertical="bottom"/>
    </xf>
    <xf borderId="0" fillId="12" fontId="6" numFmtId="0" xfId="0" applyAlignment="1" applyFill="1" applyFont="1">
      <alignment horizontal="center" shrinkToFit="0" vertical="center" wrapText="1"/>
    </xf>
    <xf borderId="12" fillId="12" fontId="6" numFmtId="0" xfId="0" applyAlignment="1" applyBorder="1" applyFont="1">
      <alignment horizontal="center" readingOrder="0" shrinkToFit="0" vertical="center" wrapText="1"/>
    </xf>
    <xf borderId="11" fillId="9" fontId="5" numFmtId="167" xfId="0" applyAlignment="1" applyBorder="1" applyFont="1" applyNumberFormat="1">
      <alignment horizontal="center" readingOrder="0" shrinkToFit="0" vertical="center" wrapText="1"/>
    </xf>
    <xf borderId="12" fillId="12" fontId="6" numFmtId="0" xfId="0" applyAlignment="1" applyBorder="1" applyFont="1">
      <alignment horizontal="center" shrinkToFit="0" vertical="center" wrapText="1"/>
    </xf>
    <xf borderId="11" fillId="12" fontId="6" numFmtId="0" xfId="0" applyAlignment="1" applyBorder="1" applyFont="1">
      <alignment horizontal="center" shrinkToFit="0" vertical="center" wrapText="1"/>
    </xf>
    <xf borderId="1" fillId="12" fontId="6" numFmtId="0" xfId="0" applyAlignment="1" applyBorder="1" applyFont="1">
      <alignment horizontal="center" shrinkToFit="0" vertical="center" wrapText="1"/>
    </xf>
    <xf borderId="0" fillId="12" fontId="6" numFmtId="0" xfId="0" applyAlignment="1" applyFont="1">
      <alignment horizontal="center" readingOrder="0" shrinkToFit="0" vertical="center" wrapText="1"/>
    </xf>
    <xf borderId="0" fillId="5" fontId="5" numFmtId="0" xfId="0" applyFont="1"/>
    <xf borderId="0" fillId="0" fontId="6" numFmtId="0" xfId="0" applyAlignment="1" applyFont="1">
      <alignment horizontal="center" shrinkToFit="0" vertical="center" wrapText="1"/>
    </xf>
    <xf borderId="12" fillId="0" fontId="6" numFmtId="0" xfId="0" applyAlignment="1" applyBorder="1" applyFont="1">
      <alignment horizontal="center" readingOrder="0" shrinkToFit="0" vertical="center" wrapText="1"/>
    </xf>
    <xf borderId="12" fillId="0" fontId="6" numFmtId="0" xfId="0" applyAlignment="1" applyBorder="1" applyFont="1">
      <alignment horizontal="center" shrinkToFit="0" vertical="center" wrapText="1"/>
    </xf>
    <xf borderId="11" fillId="7" fontId="16" numFmtId="0" xfId="0" applyAlignment="1" applyBorder="1" applyFont="1">
      <alignment horizontal="center" readingOrder="0" vertical="center"/>
    </xf>
    <xf borderId="0" fillId="0" fontId="6" numFmtId="0" xfId="0" applyAlignment="1" applyFont="1">
      <alignment horizontal="center" readingOrder="0" shrinkToFit="0" vertical="center" wrapText="1"/>
    </xf>
    <xf borderId="0" fillId="0" fontId="29" numFmtId="0" xfId="0" applyAlignment="1" applyFont="1">
      <alignment horizontal="center" shrinkToFit="0" vertical="center" wrapText="1"/>
    </xf>
    <xf borderId="11" fillId="0" fontId="6" numFmtId="0" xfId="0" applyAlignment="1" applyBorder="1" applyFont="1">
      <alignment horizontal="center" readingOrder="0" shrinkToFit="0" vertical="center" wrapText="1"/>
    </xf>
    <xf borderId="1" fillId="5" fontId="6" numFmtId="0" xfId="0" applyAlignment="1" applyBorder="1" applyFont="1">
      <alignment vertical="bottom"/>
    </xf>
    <xf borderId="1" fillId="0" fontId="6" numFmtId="0" xfId="0" applyAlignment="1" applyBorder="1" applyFont="1">
      <alignment horizontal="center" readingOrder="0" shrinkToFit="0" vertical="center" wrapText="1"/>
    </xf>
    <xf borderId="1" fillId="9" fontId="5" numFmtId="0" xfId="0" applyAlignment="1" applyBorder="1" applyFont="1">
      <alignment horizontal="center" readingOrder="0" shrinkToFit="0" vertical="center" wrapText="1"/>
    </xf>
    <xf borderId="11" fillId="12" fontId="6" numFmtId="0" xfId="0" applyAlignment="1" applyBorder="1" applyFont="1">
      <alignment horizontal="center" readingOrder="0" shrinkToFit="0" vertical="center" wrapText="1"/>
    </xf>
    <xf borderId="1" fillId="12" fontId="6" numFmtId="0" xfId="0" applyAlignment="1" applyBorder="1" applyFont="1">
      <alignment horizontal="center" readingOrder="0" shrinkToFit="0" vertical="center" wrapText="1"/>
    </xf>
    <xf borderId="2" fillId="9" fontId="30" numFmtId="0" xfId="0" applyAlignment="1" applyBorder="1" applyFont="1">
      <alignment horizontal="center"/>
    </xf>
    <xf borderId="1" fillId="0" fontId="6" numFmtId="0" xfId="0" applyAlignment="1" applyBorder="1" applyFont="1">
      <alignment horizontal="center" shrinkToFit="0" vertical="center" wrapText="1"/>
    </xf>
    <xf borderId="0" fillId="9" fontId="31" numFmtId="0" xfId="0" applyAlignment="1" applyFont="1">
      <alignment horizontal="center" readingOrder="0" shrinkToFit="0" vertical="center" wrapText="1"/>
    </xf>
    <xf borderId="0" fillId="5" fontId="32" numFmtId="0" xfId="0" applyAlignment="1" applyFont="1">
      <alignment horizontal="center" shrinkToFit="0" vertical="center" wrapText="1"/>
    </xf>
    <xf borderId="16" fillId="11" fontId="33" numFmtId="0" xfId="0" applyAlignment="1" applyBorder="1" applyFont="1">
      <alignment horizontal="center" readingOrder="0" shrinkToFit="0" vertical="center" wrapText="1"/>
    </xf>
    <xf borderId="16" fillId="0" fontId="5" numFmtId="0" xfId="0" applyBorder="1" applyFont="1"/>
    <xf borderId="3" fillId="11" fontId="34" numFmtId="0" xfId="0" applyAlignment="1" applyBorder="1" applyFont="1">
      <alignment horizontal="center" readingOrder="0" shrinkToFit="0" vertical="center" wrapText="1"/>
    </xf>
    <xf borderId="2" fillId="9" fontId="35" numFmtId="0" xfId="0" applyAlignment="1" applyBorder="1" applyFont="1">
      <alignment horizontal="center" readingOrder="0" vertical="center"/>
    </xf>
    <xf borderId="3" fillId="11" fontId="36" numFmtId="0" xfId="0" applyAlignment="1" applyBorder="1" applyFont="1">
      <alignment horizontal="center" readingOrder="0" shrinkToFit="0" vertical="center" wrapText="1"/>
    </xf>
    <xf borderId="0" fillId="13" fontId="6" numFmtId="0" xfId="0" applyAlignment="1" applyFill="1" applyFont="1">
      <alignment horizontal="center" readingOrder="0" shrinkToFit="0" vertical="center" wrapText="1"/>
    </xf>
    <xf borderId="12" fillId="13" fontId="6" numFmtId="0" xfId="0" applyAlignment="1" applyBorder="1" applyFont="1">
      <alignment horizontal="center" shrinkToFit="0" vertical="center" wrapText="1"/>
    </xf>
    <xf borderId="0" fillId="2" fontId="14" numFmtId="0" xfId="0" applyAlignment="1" applyFont="1">
      <alignment shrinkToFit="0" vertical="bottom" wrapText="1"/>
    </xf>
    <xf borderId="0" fillId="13" fontId="6" numFmtId="0" xfId="0" applyAlignment="1" applyFont="1">
      <alignment horizontal="center" shrinkToFit="0" vertical="center" wrapText="1"/>
    </xf>
    <xf borderId="2" fillId="9" fontId="37" numFmtId="0" xfId="0" applyAlignment="1" applyBorder="1" applyFont="1">
      <alignment horizontal="center" readingOrder="0" vertical="center"/>
    </xf>
    <xf borderId="11" fillId="13" fontId="6" numFmtId="0" xfId="0" applyAlignment="1" applyBorder="1" applyFont="1">
      <alignment horizontal="center" readingOrder="0" shrinkToFit="0" vertical="center" wrapText="1"/>
    </xf>
    <xf borderId="1" fillId="13" fontId="6" numFmtId="0" xfId="0" applyAlignment="1" applyBorder="1" applyFont="1">
      <alignment horizontal="center" readingOrder="0" shrinkToFit="0" vertical="center" wrapText="1"/>
    </xf>
    <xf borderId="0" fillId="13" fontId="6" numFmtId="0" xfId="0" applyAlignment="1" applyFont="1">
      <alignment horizontal="center" readingOrder="0" shrinkToFit="0" vertical="center" wrapText="1"/>
    </xf>
    <xf borderId="0" fillId="14" fontId="6" numFmtId="0" xfId="0" applyAlignment="1" applyFill="1" applyFont="1">
      <alignment horizontal="center" shrinkToFit="0" vertical="center" wrapText="1"/>
    </xf>
    <xf borderId="12" fillId="14" fontId="6" numFmtId="0" xfId="0" applyAlignment="1" applyBorder="1" applyFont="1">
      <alignment horizontal="center" readingOrder="0" shrinkToFit="0" vertical="center" wrapText="1"/>
    </xf>
    <xf borderId="0" fillId="14" fontId="6" numFmtId="0" xfId="0" applyAlignment="1" applyFont="1">
      <alignment horizontal="center" readingOrder="0" shrinkToFit="0" vertical="center" wrapText="1"/>
    </xf>
    <xf borderId="12" fillId="14" fontId="6" numFmtId="0" xfId="0" applyAlignment="1" applyBorder="1" applyFont="1">
      <alignment horizontal="center" shrinkToFit="0" vertical="center" wrapText="1"/>
    </xf>
    <xf borderId="11" fillId="14" fontId="6" numFmtId="0" xfId="0" applyAlignment="1" applyBorder="1" applyFont="1">
      <alignment horizontal="center" shrinkToFit="0" vertical="center" wrapText="1"/>
    </xf>
    <xf borderId="1" fillId="14" fontId="6" numFmtId="0" xfId="0" applyAlignment="1" applyBorder="1" applyFont="1">
      <alignment horizontal="center" shrinkToFit="0" vertical="center" wrapText="1"/>
    </xf>
    <xf borderId="12" fillId="13" fontId="6" numFmtId="0" xfId="0" applyAlignment="1" applyBorder="1" applyFont="1">
      <alignment horizontal="center" readingOrder="0" shrinkToFit="0" vertical="center" wrapText="1"/>
    </xf>
    <xf borderId="0" fillId="2" fontId="14" numFmtId="0" xfId="0" applyAlignment="1" applyFont="1">
      <alignment readingOrder="0" shrinkToFit="0" vertical="bottom" wrapText="1"/>
    </xf>
    <xf borderId="11" fillId="14" fontId="6" numFmtId="0" xfId="0" applyAlignment="1" applyBorder="1" applyFont="1">
      <alignment horizontal="center" readingOrder="0" shrinkToFit="0" vertical="center" wrapText="1"/>
    </xf>
    <xf borderId="1" fillId="14" fontId="6" numFmtId="0" xfId="0" applyAlignment="1" applyBorder="1" applyFont="1">
      <alignment horizontal="center" readingOrder="0" shrinkToFit="0" vertical="center" wrapText="1"/>
    </xf>
    <xf borderId="0" fillId="2" fontId="14" numFmtId="0" xfId="0" applyAlignment="1" applyFont="1">
      <alignment shrinkToFit="0" vertical="bottom" wrapText="1"/>
    </xf>
    <xf borderId="9" fillId="15" fontId="38" numFmtId="0" xfId="0" applyAlignment="1" applyBorder="1" applyFill="1" applyFont="1">
      <alignment horizontal="center" readingOrder="0" vertical="center"/>
    </xf>
    <xf borderId="0" fillId="2" fontId="3" numFmtId="0" xfId="0" applyAlignment="1" applyFont="1">
      <alignment horizontal="left" readingOrder="0" shrinkToFit="0" vertical="top" wrapText="1"/>
    </xf>
    <xf borderId="0" fillId="16" fontId="6" numFmtId="0" xfId="0" applyAlignment="1" applyFill="1" applyFont="1">
      <alignment horizontal="center" readingOrder="0" shrinkToFit="0" vertical="center" wrapText="1"/>
    </xf>
    <xf borderId="12" fillId="16" fontId="6" numFmtId="0" xfId="0" applyAlignment="1" applyBorder="1" applyFont="1">
      <alignment horizontal="center" readingOrder="0" shrinkToFit="0" vertical="center" wrapText="1"/>
    </xf>
    <xf borderId="0" fillId="2" fontId="39" numFmtId="0" xfId="0" applyFont="1"/>
    <xf borderId="11" fillId="16" fontId="6" numFmtId="0" xfId="0" applyAlignment="1" applyBorder="1" applyFont="1">
      <alignment horizontal="center" readingOrder="0" shrinkToFit="0" vertical="center" wrapText="1"/>
    </xf>
    <xf borderId="1" fillId="16" fontId="6" numFmtId="0" xfId="0" applyAlignment="1" applyBorder="1" applyFont="1">
      <alignment horizontal="center" readingOrder="0" shrinkToFit="0" vertical="center" wrapText="1"/>
    </xf>
    <xf borderId="0" fillId="17" fontId="6" numFmtId="0" xfId="0" applyAlignment="1" applyFill="1" applyFont="1">
      <alignment horizontal="center" readingOrder="0" shrinkToFit="0" vertical="center" wrapText="1"/>
    </xf>
    <xf borderId="12" fillId="17" fontId="6" numFmtId="0" xfId="0" applyAlignment="1" applyBorder="1" applyFont="1">
      <alignment horizontal="center" readingOrder="0" shrinkToFit="0" vertical="center" wrapText="1"/>
    </xf>
    <xf borderId="11" fillId="17" fontId="6" numFmtId="0" xfId="0" applyAlignment="1" applyBorder="1" applyFont="1">
      <alignment horizontal="center" readingOrder="0" shrinkToFit="0" vertical="center" wrapText="1"/>
    </xf>
    <xf borderId="1" fillId="17" fontId="6" numFmtId="0" xfId="0" applyAlignment="1" applyBorder="1" applyFont="1">
      <alignment horizontal="center" readingOrder="0" shrinkToFit="0" vertical="center" wrapText="1"/>
    </xf>
    <xf borderId="5" fillId="9" fontId="5" numFmtId="0" xfId="0" applyAlignment="1" applyBorder="1" applyFont="1">
      <alignment horizontal="center" shrinkToFit="0" vertical="center" wrapText="1"/>
    </xf>
    <xf borderId="3" fillId="9" fontId="5" numFmtId="0" xfId="0" applyAlignment="1" applyBorder="1" applyFont="1">
      <alignment horizontal="center" shrinkToFit="0" vertical="center" wrapText="1"/>
    </xf>
    <xf borderId="7" fillId="9" fontId="5" numFmtId="0" xfId="0" applyAlignment="1" applyBorder="1" applyFont="1">
      <alignment horizontal="center" shrinkToFit="0" vertical="center" wrapText="1"/>
    </xf>
    <xf borderId="0" fillId="5" fontId="40" numFmtId="0" xfId="0" applyAlignment="1" applyFont="1">
      <alignment horizontal="center" readingOrder="0"/>
    </xf>
    <xf borderId="9" fillId="11" fontId="41" numFmtId="0" xfId="0" applyAlignment="1" applyBorder="1" applyFont="1">
      <alignment horizontal="center" readingOrder="0" vertical="center"/>
    </xf>
    <xf borderId="0" fillId="18" fontId="6" numFmtId="0" xfId="0" applyAlignment="1" applyFill="1" applyFont="1">
      <alignment horizontal="center" readingOrder="0" shrinkToFit="0" vertical="center" wrapText="1"/>
    </xf>
    <xf borderId="12" fillId="18" fontId="6" numFmtId="0" xfId="0" applyAlignment="1" applyBorder="1" applyFont="1">
      <alignment horizontal="center" readingOrder="0" shrinkToFit="0" vertical="center" wrapText="1"/>
    </xf>
    <xf borderId="11" fillId="18" fontId="6" numFmtId="0" xfId="0" applyAlignment="1" applyBorder="1" applyFont="1">
      <alignment horizontal="center" readingOrder="0" shrinkToFit="0" vertical="center" wrapText="1"/>
    </xf>
    <xf borderId="1" fillId="18" fontId="6" numFmtId="0" xfId="0" applyAlignment="1" applyBorder="1" applyFont="1">
      <alignment horizontal="center" readingOrder="0" shrinkToFit="0" vertical="center" wrapText="1"/>
    </xf>
    <xf borderId="0" fillId="19" fontId="6" numFmtId="0" xfId="0" applyAlignment="1" applyFill="1" applyFont="1">
      <alignment horizontal="center" shrinkToFit="0" vertical="center" wrapText="1"/>
    </xf>
    <xf borderId="12" fillId="19" fontId="6" numFmtId="0" xfId="0" applyAlignment="1" applyBorder="1" applyFont="1">
      <alignment horizontal="center" shrinkToFit="0" vertical="center" wrapText="1"/>
    </xf>
    <xf borderId="11" fillId="19" fontId="6" numFmtId="0" xfId="0" applyAlignment="1" applyBorder="1" applyFont="1">
      <alignment horizontal="center" shrinkToFit="0" vertical="center" wrapText="1"/>
    </xf>
    <xf borderId="1" fillId="19" fontId="6" numFmtId="0" xfId="0" applyAlignment="1" applyBorder="1" applyFont="1">
      <alignment horizontal="center" readingOrder="0" shrinkToFit="0" vertical="center" wrapText="1"/>
    </xf>
    <xf borderId="0" fillId="19" fontId="6" numFmtId="0" xfId="0" applyAlignment="1" applyFont="1">
      <alignment horizontal="center" readingOrder="0" shrinkToFit="0" vertical="center" wrapText="1"/>
    </xf>
    <xf borderId="0" fillId="18" fontId="6" numFmtId="0" xfId="0" applyAlignment="1" applyFont="1">
      <alignment horizontal="center" shrinkToFit="0" vertical="center" wrapText="1"/>
    </xf>
    <xf borderId="12" fillId="18" fontId="6" numFmtId="0" xfId="0" applyAlignment="1" applyBorder="1" applyFont="1">
      <alignment horizontal="center" shrinkToFit="0" vertical="center" wrapText="1"/>
    </xf>
    <xf borderId="11" fillId="19" fontId="6" numFmtId="0" xfId="0" applyAlignment="1" applyBorder="1" applyFont="1">
      <alignment horizontal="center" readingOrder="0" shrinkToFit="0" vertical="center" wrapText="1"/>
    </xf>
    <xf borderId="1" fillId="18"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0" fillId="20" fontId="6" numFmtId="0" xfId="0" applyAlignment="1" applyFill="1" applyFont="1">
      <alignment horizontal="center" shrinkToFit="0" vertical="center" wrapText="1"/>
    </xf>
    <xf borderId="12" fillId="20" fontId="6" numFmtId="0" xfId="0" applyAlignment="1" applyBorder="1" applyFont="1">
      <alignment horizontal="center" shrinkToFit="0" vertical="center" wrapText="1"/>
    </xf>
    <xf borderId="0" fillId="20" fontId="6" numFmtId="0" xfId="0" applyAlignment="1" applyFont="1">
      <alignment horizontal="center" readingOrder="0" shrinkToFit="0" vertical="center" wrapText="1"/>
    </xf>
    <xf borderId="11" fillId="20" fontId="6" numFmtId="0" xfId="0" applyAlignment="1" applyBorder="1" applyFont="1">
      <alignment horizontal="center" shrinkToFit="0" vertical="center" wrapText="1"/>
    </xf>
    <xf borderId="1" fillId="20" fontId="6" numFmtId="0" xfId="0" applyAlignment="1" applyBorder="1" applyFont="1">
      <alignment horizontal="center" shrinkToFit="0" vertical="center" wrapText="1"/>
    </xf>
    <xf borderId="0" fillId="21" fontId="6" numFmtId="0" xfId="0" applyAlignment="1" applyFill="1" applyFont="1">
      <alignment horizontal="center" readingOrder="0" shrinkToFit="0" vertical="center" wrapText="1"/>
    </xf>
    <xf borderId="12" fillId="21" fontId="6" numFmtId="0" xfId="0" applyAlignment="1" applyBorder="1" applyFont="1">
      <alignment horizontal="center" readingOrder="0" shrinkToFit="0" vertical="center" wrapText="1"/>
    </xf>
    <xf borderId="11" fillId="21" fontId="6" numFmtId="0" xfId="0" applyAlignment="1" applyBorder="1" applyFont="1">
      <alignment horizontal="center" readingOrder="0" shrinkToFit="0" vertical="center" wrapText="1"/>
    </xf>
    <xf borderId="1" fillId="21" fontId="6" numFmtId="0" xfId="0" applyAlignment="1" applyBorder="1" applyFont="1">
      <alignment horizontal="center" readingOrder="0" shrinkToFit="0" vertical="center" wrapText="1"/>
    </xf>
    <xf borderId="12" fillId="20" fontId="6" numFmtId="0" xfId="0" applyAlignment="1" applyBorder="1" applyFont="1">
      <alignment horizontal="center" readingOrder="0" shrinkToFit="0" vertical="center" wrapText="1"/>
    </xf>
    <xf borderId="11" fillId="20" fontId="6" numFmtId="0" xfId="0" applyAlignment="1" applyBorder="1" applyFont="1">
      <alignment horizontal="center" readingOrder="0" shrinkToFit="0" vertical="center" wrapText="1"/>
    </xf>
    <xf borderId="1" fillId="20" fontId="6" numFmtId="0" xfId="0" applyAlignment="1" applyBorder="1" applyFont="1">
      <alignment horizontal="center" readingOrder="0" shrinkToFit="0" vertical="center" wrapText="1"/>
    </xf>
    <xf borderId="12" fillId="21" fontId="6" numFmtId="0" xfId="0" applyAlignment="1" applyBorder="1" applyFont="1">
      <alignment horizontal="center" shrinkToFit="0" vertical="center" wrapText="1"/>
    </xf>
    <xf borderId="0" fillId="21" fontId="6" numFmtId="0" xfId="0" applyAlignment="1" applyFont="1">
      <alignment horizontal="center" shrinkToFit="0" vertical="center" wrapText="1"/>
    </xf>
    <xf borderId="0" fillId="12" fontId="6" numFmtId="0" xfId="0" applyAlignment="1" applyFont="1">
      <alignment horizontal="center" shrinkToFit="0" vertical="center" wrapText="1"/>
    </xf>
    <xf borderId="0" fillId="22" fontId="29" numFmtId="0" xfId="0" applyAlignment="1" applyFill="1" applyFont="1">
      <alignment horizontal="center" readingOrder="0" shrinkToFit="0" vertical="center" wrapText="1"/>
    </xf>
    <xf borderId="12" fillId="22" fontId="29" numFmtId="0" xfId="0" applyAlignment="1" applyBorder="1" applyFont="1">
      <alignment horizontal="center" shrinkToFit="0" vertical="center" wrapText="1"/>
    </xf>
    <xf borderId="0" fillId="22" fontId="29" numFmtId="0" xfId="0" applyAlignment="1" applyFont="1">
      <alignment horizontal="center" shrinkToFit="0" vertical="center" wrapText="1"/>
    </xf>
    <xf borderId="11" fillId="22" fontId="29" numFmtId="0" xfId="0" applyAlignment="1" applyBorder="1" applyFont="1">
      <alignment horizontal="center" readingOrder="0" shrinkToFit="0" vertical="center" wrapText="1"/>
    </xf>
    <xf borderId="1" fillId="22" fontId="29" numFmtId="0" xfId="0" applyAlignment="1" applyBorder="1" applyFont="1">
      <alignment horizontal="center" readingOrder="0" shrinkToFit="0" vertical="center" wrapText="1"/>
    </xf>
    <xf borderId="0" fillId="22" fontId="29" numFmtId="0" xfId="0" applyAlignment="1" applyFont="1">
      <alignment horizontal="center" readingOrder="0" shrinkToFit="0" vertical="center" wrapText="1"/>
    </xf>
    <xf borderId="9" fillId="11" fontId="42" numFmtId="0" xfId="0" applyAlignment="1" applyBorder="1" applyFont="1">
      <alignment horizontal="center" vertical="center"/>
    </xf>
    <xf borderId="0" fillId="23" fontId="29" numFmtId="0" xfId="0" applyAlignment="1" applyFill="1" applyFont="1">
      <alignment horizontal="center" readingOrder="0" shrinkToFit="0" vertical="center" wrapText="1"/>
    </xf>
    <xf borderId="12" fillId="23" fontId="29" numFmtId="0" xfId="0" applyAlignment="1" applyBorder="1" applyFont="1">
      <alignment horizontal="center" readingOrder="0" shrinkToFit="0" vertical="center" wrapText="1"/>
    </xf>
    <xf borderId="11" fillId="23" fontId="29" numFmtId="0" xfId="0" applyAlignment="1" applyBorder="1" applyFont="1">
      <alignment horizontal="center" readingOrder="0" shrinkToFit="0" vertical="center" wrapText="1"/>
    </xf>
    <xf borderId="16" fillId="11" fontId="42" numFmtId="0" xfId="0" applyAlignment="1" applyBorder="1" applyFont="1">
      <alignment horizontal="center" shrinkToFit="0" vertical="center" wrapText="1"/>
    </xf>
    <xf borderId="1" fillId="23" fontId="29" numFmtId="0" xfId="0" applyAlignment="1" applyBorder="1" applyFont="1">
      <alignment horizontal="center" readingOrder="0" shrinkToFit="0" vertical="center" wrapText="1"/>
    </xf>
    <xf borderId="12" fillId="22" fontId="29" numFmtId="0" xfId="0" applyAlignment="1" applyBorder="1" applyFont="1">
      <alignment horizontal="center" readingOrder="0" shrinkToFit="0" vertical="center" wrapText="1"/>
    </xf>
    <xf borderId="3" fillId="11" fontId="34" numFmtId="0" xfId="0" applyAlignment="1" applyBorder="1" applyFont="1">
      <alignment horizontal="center" readingOrder="0" shrinkToFit="0" vertical="center" wrapText="1"/>
    </xf>
    <xf borderId="0" fillId="23" fontId="29" numFmtId="0" xfId="0" applyAlignment="1" applyFont="1">
      <alignment horizontal="center" shrinkToFit="0" vertical="center" wrapText="1"/>
    </xf>
    <xf borderId="3" fillId="11" fontId="36" numFmtId="0" xfId="0" applyAlignment="1" applyBorder="1" applyFont="1">
      <alignment horizontal="center" readingOrder="0" shrinkToFit="0" vertical="center" wrapText="1"/>
    </xf>
    <xf borderId="12" fillId="23" fontId="29" numFmtId="0" xfId="0" applyAlignment="1" applyBorder="1" applyFont="1">
      <alignment horizontal="center" shrinkToFit="0" vertical="center" wrapText="1"/>
    </xf>
    <xf borderId="0" fillId="18" fontId="29" numFmtId="0" xfId="0" applyAlignment="1" applyFont="1">
      <alignment horizontal="center" shrinkToFit="0" vertical="center" wrapText="1"/>
    </xf>
    <xf borderId="1" fillId="23" fontId="29" numFmtId="0" xfId="0" applyAlignment="1" applyBorder="1" applyFont="1">
      <alignment horizontal="center" shrinkToFit="0" vertical="center" wrapText="1"/>
    </xf>
    <xf borderId="12" fillId="18" fontId="29" numFmtId="0" xfId="0" applyAlignment="1" applyBorder="1" applyFont="1">
      <alignment horizontal="center" shrinkToFit="0" vertical="center" wrapText="1"/>
    </xf>
    <xf borderId="0" fillId="18" fontId="29" numFmtId="0" xfId="0" applyAlignment="1" applyFont="1">
      <alignment horizontal="center" readingOrder="0" shrinkToFit="0" vertical="center" wrapText="1"/>
    </xf>
    <xf borderId="11" fillId="22" fontId="29" numFmtId="0" xfId="0" applyAlignment="1" applyBorder="1" applyFont="1">
      <alignment horizontal="center" shrinkToFit="0" vertical="center" wrapText="1"/>
    </xf>
    <xf borderId="11" fillId="18" fontId="29" numFmtId="0" xfId="0" applyAlignment="1" applyBorder="1" applyFont="1">
      <alignment horizontal="center" shrinkToFit="0" vertical="center" wrapText="1"/>
    </xf>
    <xf borderId="1" fillId="22" fontId="29" numFmtId="0" xfId="0" applyAlignment="1" applyBorder="1" applyFont="1">
      <alignment horizontal="center" shrinkToFit="0" vertical="center" wrapText="1"/>
    </xf>
    <xf borderId="1" fillId="18" fontId="29" numFmtId="0" xfId="0" applyAlignment="1" applyBorder="1" applyFont="1">
      <alignment horizontal="center" shrinkToFit="0" vertical="center" wrapText="1"/>
    </xf>
    <xf borderId="0" fillId="19" fontId="29" numFmtId="0" xfId="0" applyAlignment="1" applyFont="1">
      <alignment horizontal="center" shrinkToFit="0" vertical="center" wrapText="1"/>
    </xf>
    <xf borderId="12" fillId="19" fontId="29" numFmtId="0" xfId="0" applyAlignment="1" applyBorder="1" applyFont="1">
      <alignment horizontal="center" shrinkToFit="0" vertical="center" wrapText="1"/>
    </xf>
    <xf borderId="0" fillId="19" fontId="29" numFmtId="0" xfId="0" applyAlignment="1" applyFont="1">
      <alignment horizontal="center" shrinkToFit="0" vertical="center" wrapText="1"/>
    </xf>
    <xf borderId="11" fillId="19" fontId="29" numFmtId="0" xfId="0" applyAlignment="1" applyBorder="1" applyFont="1">
      <alignment horizontal="center" shrinkToFit="0" vertical="center" wrapText="1"/>
    </xf>
    <xf borderId="1" fillId="19" fontId="29" numFmtId="0" xfId="0" applyAlignment="1" applyBorder="1" applyFont="1">
      <alignment horizontal="center" shrinkToFit="0" vertical="center" wrapText="1"/>
    </xf>
    <xf borderId="0" fillId="19" fontId="29" numFmtId="0" xfId="0" applyAlignment="1" applyFont="1">
      <alignment horizontal="center" readingOrder="0" shrinkToFit="0" vertical="center" wrapText="1"/>
    </xf>
    <xf borderId="0" fillId="24" fontId="6" numFmtId="0" xfId="0" applyAlignment="1" applyFill="1" applyFont="1">
      <alignment horizontal="center" shrinkToFit="0" vertical="center" wrapText="1"/>
    </xf>
    <xf borderId="12" fillId="24" fontId="6" numFmtId="0" xfId="0" applyAlignment="1" applyBorder="1" applyFont="1">
      <alignment horizontal="center" shrinkToFit="0" vertical="center" wrapText="1"/>
    </xf>
    <xf borderId="11" fillId="18" fontId="29" numFmtId="0" xfId="0" applyAlignment="1" applyBorder="1" applyFont="1">
      <alignment horizontal="center" shrinkToFit="0" vertical="center" wrapText="1"/>
    </xf>
    <xf borderId="0" fillId="24" fontId="6" numFmtId="0" xfId="0" applyAlignment="1" applyFont="1">
      <alignment horizontal="center" readingOrder="0" shrinkToFit="0" vertical="center" wrapText="1"/>
    </xf>
    <xf borderId="11" fillId="24" fontId="6" numFmtId="0" xfId="0" applyAlignment="1" applyBorder="1" applyFont="1">
      <alignment horizontal="center" shrinkToFit="0" vertical="center" wrapText="1"/>
    </xf>
    <xf borderId="1" fillId="24" fontId="6" numFmtId="0" xfId="0" applyAlignment="1" applyBorder="1" applyFont="1">
      <alignment horizontal="center" shrinkToFit="0" vertical="center" wrapText="1"/>
    </xf>
    <xf borderId="11" fillId="19" fontId="29" numFmtId="0" xfId="0" applyAlignment="1" applyBorder="1" applyFont="1">
      <alignment horizontal="center" readingOrder="0" shrinkToFit="0" vertical="center" wrapText="1"/>
    </xf>
    <xf borderId="0" fillId="25" fontId="6" numFmtId="0" xfId="0" applyAlignment="1" applyFill="1" applyFont="1">
      <alignment horizontal="center" readingOrder="0" shrinkToFit="0" vertical="center" wrapText="1"/>
    </xf>
    <xf borderId="9" fillId="11" fontId="42" numFmtId="0" xfId="0" applyAlignment="1" applyBorder="1" applyFont="1">
      <alignment horizontal="center" readingOrder="0" shrinkToFit="0" vertical="center" wrapText="1"/>
    </xf>
    <xf borderId="1" fillId="19" fontId="29" numFmtId="0" xfId="0" applyAlignment="1" applyBorder="1" applyFont="1">
      <alignment horizontal="center" shrinkToFit="0" vertical="center" wrapText="1"/>
    </xf>
    <xf borderId="12" fillId="25" fontId="6" numFmtId="0" xfId="0" applyAlignment="1" applyBorder="1" applyFont="1">
      <alignment horizontal="center" readingOrder="0" shrinkToFit="0" vertical="center" wrapText="1"/>
    </xf>
    <xf borderId="0" fillId="19" fontId="29" numFmtId="0" xfId="0" applyAlignment="1" applyFont="1">
      <alignment horizontal="center" readingOrder="0" shrinkToFit="0" vertical="center" wrapText="1"/>
    </xf>
    <xf borderId="11" fillId="25" fontId="6" numFmtId="0" xfId="0" applyAlignment="1" applyBorder="1" applyFont="1">
      <alignment horizontal="center" readingOrder="0" shrinkToFit="0" vertical="center" wrapText="1"/>
    </xf>
    <xf borderId="12" fillId="18" fontId="29" numFmtId="0" xfId="0" applyAlignment="1" applyBorder="1" applyFont="1">
      <alignment horizontal="center" shrinkToFit="0" vertical="center" wrapText="1"/>
    </xf>
    <xf borderId="1" fillId="25" fontId="6" numFmtId="0" xfId="0" applyAlignment="1" applyBorder="1" applyFont="1">
      <alignment horizontal="center" readingOrder="0" shrinkToFit="0" vertical="center" wrapText="1"/>
    </xf>
    <xf borderId="1" fillId="18" fontId="29" numFmtId="0" xfId="0" applyAlignment="1" applyBorder="1" applyFont="1">
      <alignment horizontal="center" shrinkToFit="0" vertical="center" wrapText="1"/>
    </xf>
    <xf borderId="12" fillId="24" fontId="6" numFmtId="0" xfId="0" applyAlignment="1" applyBorder="1" applyFont="1">
      <alignment horizontal="center" readingOrder="0" shrinkToFit="0" vertical="center" wrapText="1"/>
    </xf>
    <xf borderId="12" fillId="19" fontId="29" numFmtId="0" xfId="0" applyAlignment="1" applyBorder="1" applyFont="1">
      <alignment horizontal="center" readingOrder="0" shrinkToFit="0" vertical="center" wrapText="1"/>
    </xf>
    <xf borderId="11" fillId="24" fontId="6" numFmtId="0" xfId="0" applyAlignment="1" applyBorder="1" applyFont="1">
      <alignment horizontal="center" readingOrder="0" shrinkToFit="0" vertical="center" wrapText="1"/>
    </xf>
    <xf borderId="1" fillId="24" fontId="6" numFmtId="0" xfId="0" applyAlignment="1" applyBorder="1" applyFont="1">
      <alignment horizontal="center" readingOrder="0" shrinkToFit="0" vertical="center" wrapText="1"/>
    </xf>
    <xf borderId="12" fillId="25" fontId="6" numFmtId="0" xfId="0" applyAlignment="1" applyBorder="1" applyFont="1">
      <alignment horizontal="center" shrinkToFit="0" vertical="center" wrapText="1"/>
    </xf>
    <xf borderId="9" fillId="11" fontId="42" numFmtId="0" xfId="0" applyAlignment="1" applyBorder="1" applyFont="1">
      <alignment horizontal="center" shrinkToFit="0" vertical="center" wrapText="1"/>
    </xf>
    <xf borderId="0" fillId="18" fontId="29" numFmtId="0" xfId="0" applyAlignment="1" applyFont="1">
      <alignment horizontal="center" shrinkToFit="0" vertical="center" wrapText="1"/>
    </xf>
    <xf borderId="0" fillId="25" fontId="6" numFmtId="0" xfId="0" applyAlignment="1" applyFont="1">
      <alignment horizontal="center" shrinkToFit="0" vertical="center" wrapText="1"/>
    </xf>
    <xf borderId="12" fillId="19" fontId="29" numFmtId="0" xfId="0" applyAlignment="1" applyBorder="1" applyFont="1">
      <alignment horizontal="center" shrinkToFit="0" vertical="center" wrapText="1"/>
    </xf>
    <xf borderId="1" fillId="25" fontId="6" numFmtId="0" xfId="0" applyAlignment="1" applyBorder="1" applyFont="1">
      <alignment horizontal="center" shrinkToFit="0" vertical="center" wrapText="1"/>
    </xf>
    <xf borderId="0" fillId="24" fontId="6" numFmtId="0" xfId="0" applyAlignment="1" applyFont="1">
      <alignment horizontal="center" shrinkToFit="0" vertical="center" wrapText="1"/>
    </xf>
    <xf borderId="12" fillId="24" fontId="6" numFmtId="0" xfId="0" applyAlignment="1" applyBorder="1" applyFont="1">
      <alignment horizontal="center" shrinkToFit="0" vertical="center" wrapText="1"/>
    </xf>
    <xf borderId="1" fillId="18" fontId="29" numFmtId="0" xfId="0" applyAlignment="1" applyBorder="1" applyFont="1">
      <alignment horizontal="center" readingOrder="0" shrinkToFit="0" vertical="center" wrapText="1"/>
    </xf>
    <xf borderId="1" fillId="24" fontId="6" numFmtId="0" xfId="0" applyAlignment="1" applyBorder="1" applyFont="1">
      <alignment horizontal="center" shrinkToFit="0" vertical="center" wrapText="1"/>
    </xf>
    <xf borderId="3" fillId="25" fontId="6" numFmtId="0" xfId="0" applyAlignment="1" applyBorder="1" applyFont="1">
      <alignment horizontal="center" shrinkToFit="0" vertical="center" wrapText="1"/>
    </xf>
    <xf borderId="17" fillId="25" fontId="6" numFmtId="0" xfId="0" applyAlignment="1" applyBorder="1" applyFont="1">
      <alignment horizontal="center" readingOrder="0" shrinkToFit="0" vertical="center" wrapText="1"/>
    </xf>
    <xf borderId="17" fillId="25" fontId="6" numFmtId="0" xfId="0" applyAlignment="1" applyBorder="1" applyFont="1">
      <alignment horizontal="center" shrinkToFit="0" vertical="center" wrapText="1"/>
    </xf>
    <xf borderId="3" fillId="25" fontId="6" numFmtId="0" xfId="0" applyAlignment="1" applyBorder="1" applyFont="1">
      <alignment horizontal="center" readingOrder="0" shrinkToFit="0" vertical="center" wrapText="1"/>
    </xf>
    <xf borderId="5" fillId="25" fontId="6" numFmtId="0" xfId="0" applyAlignment="1" applyBorder="1" applyFont="1">
      <alignment horizontal="center" readingOrder="0" shrinkToFit="0" vertical="center" wrapText="1"/>
    </xf>
    <xf borderId="7" fillId="25" fontId="6" numFmtId="0" xfId="0" applyAlignment="1" applyBorder="1" applyFont="1">
      <alignment horizontal="center" shrinkToFit="0" vertical="center" wrapText="1"/>
    </xf>
    <xf borderId="0" fillId="26" fontId="43" numFmtId="0" xfId="0" applyAlignment="1" applyFill="1" applyFont="1">
      <alignment horizontal="center" shrinkToFit="0" vertical="center" wrapText="1"/>
    </xf>
    <xf borderId="0" fillId="27" fontId="29" numFmtId="0" xfId="0" applyAlignment="1" applyFill="1" applyFont="1">
      <alignment horizontal="center" readingOrder="0" shrinkToFit="0" vertical="center" wrapText="1"/>
    </xf>
    <xf borderId="12" fillId="26" fontId="43" numFmtId="0" xfId="0" applyAlignment="1" applyBorder="1" applyFont="1">
      <alignment horizontal="center" shrinkToFit="0" vertical="center" wrapText="1"/>
    </xf>
    <xf borderId="12" fillId="27" fontId="29" numFmtId="0" xfId="0" applyAlignment="1" applyBorder="1" applyFont="1">
      <alignment horizontal="center" readingOrder="0" shrinkToFit="0" vertical="center" wrapText="1"/>
    </xf>
    <xf borderId="0" fillId="26" fontId="43" numFmtId="0" xfId="0" applyAlignment="1" applyFont="1">
      <alignment horizontal="center" readingOrder="0" shrinkToFit="0" vertical="center" wrapText="1"/>
    </xf>
    <xf borderId="11" fillId="26" fontId="43" numFmtId="0" xfId="0" applyAlignment="1" applyBorder="1" applyFont="1">
      <alignment horizontal="center" shrinkToFit="0" vertical="center" wrapText="1"/>
    </xf>
    <xf borderId="11" fillId="27" fontId="29" numFmtId="0" xfId="0" applyAlignment="1" applyBorder="1" applyFont="1">
      <alignment horizontal="center" readingOrder="0" shrinkToFit="0" vertical="center" wrapText="1"/>
    </xf>
    <xf borderId="0" fillId="28" fontId="43" numFmtId="0" xfId="0" applyAlignment="1" applyFill="1" applyFont="1">
      <alignment horizontal="center" readingOrder="0" shrinkToFit="0" vertical="center" wrapText="1"/>
    </xf>
    <xf borderId="1" fillId="26" fontId="43" numFmtId="0" xfId="0" applyAlignment="1" applyBorder="1" applyFont="1">
      <alignment horizontal="center" readingOrder="0" shrinkToFit="0" vertical="center" wrapText="1"/>
    </xf>
    <xf borderId="12" fillId="28" fontId="43" numFmtId="0" xfId="0" applyAlignment="1" applyBorder="1" applyFont="1">
      <alignment horizontal="center" readingOrder="0" shrinkToFit="0" vertical="center" wrapText="1"/>
    </xf>
    <xf borderId="1" fillId="27" fontId="29" numFmtId="0" xfId="0" applyAlignment="1" applyBorder="1" applyFont="1">
      <alignment horizontal="center" readingOrder="0" shrinkToFit="0" vertical="center" wrapText="1"/>
    </xf>
    <xf borderId="11" fillId="28" fontId="43" numFmtId="0" xfId="0" applyAlignment="1" applyBorder="1" applyFont="1">
      <alignment horizontal="center" readingOrder="0" shrinkToFit="0" vertical="center" wrapText="1"/>
    </xf>
    <xf borderId="1" fillId="28" fontId="43" numFmtId="0" xfId="0" applyAlignment="1" applyBorder="1" applyFont="1">
      <alignment horizontal="center" readingOrder="0" shrinkToFit="0" vertical="center" wrapText="1"/>
    </xf>
    <xf borderId="0" fillId="3" fontId="43" numFmtId="0" xfId="0" applyAlignment="1" applyFont="1">
      <alignment horizontal="center" readingOrder="0" shrinkToFit="0" vertical="center" wrapText="1"/>
    </xf>
    <xf borderId="12" fillId="3" fontId="43" numFmtId="0" xfId="0" applyAlignment="1" applyBorder="1" applyFont="1">
      <alignment horizontal="center" readingOrder="0" shrinkToFit="0" vertical="center" wrapText="1"/>
    </xf>
    <xf borderId="11" fillId="3" fontId="43" numFmtId="0" xfId="0" applyAlignment="1" applyBorder="1" applyFont="1">
      <alignment horizontal="center" readingOrder="0" shrinkToFit="0" vertical="center" wrapText="1"/>
    </xf>
    <xf borderId="1" fillId="3" fontId="43" numFmtId="0" xfId="0" applyAlignment="1" applyBorder="1" applyFont="1">
      <alignment horizontal="center" readingOrder="0" shrinkToFit="0" vertical="center" wrapText="1"/>
    </xf>
    <xf borderId="0" fillId="29" fontId="43" numFmtId="0" xfId="0" applyAlignment="1" applyFill="1" applyFont="1">
      <alignment horizontal="center" shrinkToFit="0" vertical="center" wrapText="1"/>
    </xf>
    <xf borderId="12" fillId="29" fontId="43" numFmtId="0" xfId="0" applyAlignment="1" applyBorder="1" applyFont="1">
      <alignment horizontal="center" shrinkToFit="0" vertical="center" wrapText="1"/>
    </xf>
    <xf borderId="0" fillId="29" fontId="43" numFmtId="0" xfId="0" applyAlignment="1" applyFont="1">
      <alignment horizontal="center" readingOrder="0" shrinkToFit="0" vertical="center" wrapText="1"/>
    </xf>
    <xf borderId="12" fillId="29" fontId="43" numFmtId="0" xfId="0" applyAlignment="1" applyBorder="1" applyFont="1">
      <alignment horizontal="center" readingOrder="0" shrinkToFit="0" vertical="center" wrapText="1"/>
    </xf>
    <xf borderId="11" fillId="29" fontId="43" numFmtId="0" xfId="0" applyAlignment="1" applyBorder="1" applyFont="1">
      <alignment horizontal="center" readingOrder="0" shrinkToFit="0" vertical="center" wrapText="1"/>
    </xf>
    <xf borderId="1" fillId="29" fontId="43" numFmtId="0" xfId="0" applyAlignment="1" applyBorder="1" applyFont="1">
      <alignment horizontal="center" shrinkToFit="0" vertical="center" wrapText="1"/>
    </xf>
    <xf borderId="0" fillId="26" fontId="43" numFmtId="0" xfId="0" applyAlignment="1" applyFont="1">
      <alignment horizontal="center" shrinkToFit="0" vertical="center" wrapText="1"/>
    </xf>
    <xf borderId="12" fillId="26" fontId="43" numFmtId="0" xfId="0" applyAlignment="1" applyBorder="1" applyFont="1">
      <alignment horizontal="center" shrinkToFit="0" vertical="center" wrapText="1"/>
    </xf>
    <xf borderId="11" fillId="26" fontId="43" numFmtId="0" xfId="0" applyAlignment="1" applyBorder="1" applyFont="1">
      <alignment horizontal="center" readingOrder="0" shrinkToFit="0" vertical="center" wrapText="1"/>
    </xf>
    <xf borderId="0" fillId="29" fontId="43" numFmtId="0" xfId="0" applyAlignment="1" applyFont="1">
      <alignment horizontal="center" shrinkToFit="0" vertical="center" wrapText="1"/>
    </xf>
    <xf borderId="1" fillId="29" fontId="43" numFmtId="0" xfId="0" applyAlignment="1" applyBorder="1" applyFont="1">
      <alignment horizontal="center" shrinkToFit="0" vertical="center" wrapText="1"/>
    </xf>
    <xf borderId="0" fillId="30" fontId="43" numFmtId="0" xfId="0" applyAlignment="1" applyFill="1" applyFont="1">
      <alignment horizontal="center" shrinkToFit="0" vertical="center" wrapText="1"/>
    </xf>
    <xf borderId="12" fillId="30" fontId="43" numFmtId="0" xfId="0" applyAlignment="1" applyBorder="1" applyFont="1">
      <alignment horizontal="center" shrinkToFit="0" vertical="center" wrapText="1"/>
    </xf>
    <xf borderId="0" fillId="30" fontId="43" numFmtId="0" xfId="0" applyAlignment="1" applyFont="1">
      <alignment horizontal="center" readingOrder="0" shrinkToFit="0" vertical="center" wrapText="1"/>
    </xf>
    <xf borderId="1" fillId="26" fontId="43" numFmtId="0" xfId="0" applyAlignment="1" applyBorder="1" applyFont="1">
      <alignment horizontal="center" shrinkToFit="0" vertical="center" wrapText="1"/>
    </xf>
    <xf borderId="0" fillId="31" fontId="29" numFmtId="0" xfId="0" applyAlignment="1" applyFill="1" applyFont="1">
      <alignment horizontal="center" shrinkToFit="0" vertical="center" wrapText="1"/>
    </xf>
    <xf borderId="11" fillId="30" fontId="43" numFmtId="0" xfId="0" applyAlignment="1" applyBorder="1" applyFont="1">
      <alignment horizontal="center" shrinkToFit="0" vertical="center" wrapText="1"/>
    </xf>
    <xf borderId="12" fillId="29" fontId="43" numFmtId="0" xfId="0" applyAlignment="1" applyBorder="1" applyFont="1">
      <alignment horizontal="center" shrinkToFit="0" vertical="center" wrapText="1"/>
    </xf>
    <xf borderId="12" fillId="31" fontId="29" numFmtId="0" xfId="0" applyAlignment="1" applyBorder="1" applyFont="1">
      <alignment horizontal="center" shrinkToFit="0" vertical="center" wrapText="1"/>
    </xf>
    <xf borderId="1" fillId="30" fontId="43" numFmtId="0" xfId="0" applyAlignment="1" applyBorder="1" applyFont="1">
      <alignment horizontal="center" shrinkToFit="0" vertical="center" wrapText="1"/>
    </xf>
    <xf borderId="0" fillId="31" fontId="29" numFmtId="0" xfId="0" applyAlignment="1" applyFont="1">
      <alignment horizontal="center" readingOrder="0" shrinkToFit="0" vertical="center" wrapText="1"/>
    </xf>
    <xf borderId="0" fillId="32" fontId="43" numFmtId="0" xfId="0" applyAlignment="1" applyFill="1" applyFont="1">
      <alignment horizontal="center" shrinkToFit="0" vertical="center" wrapText="1"/>
    </xf>
    <xf borderId="12" fillId="32" fontId="43" numFmtId="0" xfId="0" applyAlignment="1" applyBorder="1" applyFont="1">
      <alignment horizontal="center" shrinkToFit="0" vertical="center" wrapText="1"/>
    </xf>
    <xf borderId="11" fillId="31" fontId="29" numFmtId="0" xfId="0" applyAlignment="1" applyBorder="1" applyFont="1">
      <alignment horizontal="center" readingOrder="0" shrinkToFit="0" vertical="center" wrapText="1"/>
    </xf>
    <xf borderId="1" fillId="31" fontId="29" numFmtId="0" xfId="0" applyAlignment="1" applyBorder="1" applyFont="1">
      <alignment horizontal="center" readingOrder="0" shrinkToFit="0" vertical="center" wrapText="1"/>
    </xf>
    <xf borderId="11" fillId="32" fontId="43" numFmtId="0" xfId="0" applyAlignment="1" applyBorder="1" applyFont="1">
      <alignment horizontal="center" shrinkToFit="0" vertical="center" wrapText="1"/>
    </xf>
    <xf borderId="1" fillId="32" fontId="43" numFmtId="0" xfId="0" applyAlignment="1" applyBorder="1" applyFont="1">
      <alignment horizontal="center" shrinkToFit="0" vertical="center" wrapText="1"/>
    </xf>
    <xf borderId="1" fillId="26" fontId="43" numFmtId="0" xfId="0" applyAlignment="1" applyBorder="1" applyFont="1">
      <alignment horizontal="center" shrinkToFit="0" vertical="center" wrapText="1"/>
    </xf>
    <xf borderId="0" fillId="32" fontId="43" numFmtId="0" xfId="0" applyAlignment="1" applyFont="1">
      <alignment horizontal="center" readingOrder="0" shrinkToFit="0" vertical="center" wrapText="1"/>
    </xf>
    <xf borderId="11" fillId="31" fontId="29" numFmtId="0" xfId="0" applyAlignment="1" applyBorder="1" applyFont="1">
      <alignment horizontal="center" shrinkToFit="0" vertical="center" wrapText="1"/>
    </xf>
    <xf borderId="11" fillId="30" fontId="43" numFmtId="0" xfId="0" applyAlignment="1" applyBorder="1" applyFont="1">
      <alignment horizontal="center" readingOrder="0" shrinkToFit="0" vertical="center" wrapText="1"/>
    </xf>
    <xf borderId="1" fillId="31" fontId="29" numFmtId="0" xfId="0" applyAlignment="1" applyBorder="1" applyFont="1">
      <alignment horizontal="center" shrinkToFit="0" vertical="center" wrapText="1"/>
    </xf>
    <xf borderId="1" fillId="30" fontId="43" numFmtId="0" xfId="0" applyAlignment="1" applyBorder="1" applyFont="1">
      <alignment horizontal="center" readingOrder="0" shrinkToFit="0" vertical="center" wrapText="1"/>
    </xf>
    <xf borderId="0" fillId="31" fontId="6" numFmtId="0" xfId="0" applyAlignment="1" applyFont="1">
      <alignment horizontal="center" readingOrder="0" shrinkToFit="0" vertical="center" wrapText="1"/>
    </xf>
    <xf borderId="11" fillId="32" fontId="43" numFmtId="0" xfId="0" applyAlignment="1" applyBorder="1" applyFont="1">
      <alignment horizontal="center" readingOrder="0" shrinkToFit="0" vertical="center" wrapText="1"/>
    </xf>
    <xf borderId="11" fillId="19" fontId="29" numFmtId="0" xfId="0" applyAlignment="1" applyBorder="1" applyFont="1">
      <alignment horizontal="center" shrinkToFit="0" vertical="center" wrapText="1"/>
    </xf>
    <xf borderId="0" fillId="30" fontId="43" numFmtId="0" xfId="0" applyAlignment="1" applyFont="1">
      <alignment horizontal="center" shrinkToFit="0" vertical="center" wrapText="1"/>
    </xf>
    <xf borderId="12" fillId="31" fontId="29" numFmtId="0" xfId="0" applyAlignment="1" applyBorder="1" applyFont="1">
      <alignment horizontal="center" shrinkToFit="0" vertical="center" wrapText="1"/>
    </xf>
    <xf borderId="12" fillId="30" fontId="43" numFmtId="0" xfId="0" applyAlignment="1" applyBorder="1" applyFont="1">
      <alignment horizontal="center" shrinkToFit="0" vertical="center" wrapText="1"/>
    </xf>
    <xf borderId="1" fillId="29" fontId="43" numFmtId="0" xfId="0" applyAlignment="1" applyBorder="1" applyFont="1">
      <alignment horizontal="center" readingOrder="0" shrinkToFit="0" vertical="center" wrapText="1"/>
    </xf>
    <xf borderId="12" fillId="31" fontId="29" numFmtId="0" xfId="0" applyAlignment="1" applyBorder="1" applyFont="1">
      <alignment horizontal="center" readingOrder="0" shrinkToFit="0" vertical="center" wrapText="1"/>
    </xf>
    <xf borderId="0" fillId="31" fontId="29" numFmtId="0" xfId="0" applyAlignment="1" applyFont="1">
      <alignment horizontal="center" shrinkToFit="0" vertical="center" wrapText="1"/>
    </xf>
    <xf borderId="11" fillId="30" fontId="43" numFmtId="0" xfId="0" applyAlignment="1" applyBorder="1" applyFont="1">
      <alignment horizontal="center" shrinkToFit="0" vertical="center" wrapText="1"/>
    </xf>
    <xf borderId="1" fillId="31" fontId="29" numFmtId="0" xfId="0" applyAlignment="1" applyBorder="1" applyFont="1">
      <alignment horizontal="center" shrinkToFit="0" vertical="center" wrapText="1"/>
    </xf>
    <xf borderId="0" fillId="32" fontId="43" numFmtId="0" xfId="0" applyAlignment="1" applyFont="1">
      <alignment horizontal="center" shrinkToFit="0" vertical="center" wrapText="1"/>
    </xf>
    <xf borderId="11" fillId="32" fontId="43" numFmtId="0" xfId="0" applyAlignment="1" applyBorder="1" applyFont="1">
      <alignment horizontal="center" shrinkToFit="0" vertical="center" wrapText="1"/>
    </xf>
    <xf borderId="0" fillId="33" fontId="29" numFmtId="0" xfId="0" applyAlignment="1" applyFill="1" applyFont="1">
      <alignment horizontal="center" shrinkToFit="0" vertical="center" wrapText="1"/>
    </xf>
    <xf borderId="1" fillId="32" fontId="43" numFmtId="0" xfId="0" applyAlignment="1" applyBorder="1" applyFont="1">
      <alignment horizontal="center" shrinkToFit="0" vertical="center" wrapText="1"/>
    </xf>
    <xf borderId="12" fillId="33" fontId="29" numFmtId="0" xfId="0" applyAlignment="1" applyBorder="1" applyFont="1">
      <alignment horizontal="center" shrinkToFit="0" vertical="center" wrapText="1"/>
    </xf>
    <xf borderId="0" fillId="33" fontId="29" numFmtId="0" xfId="0" applyAlignment="1" applyFont="1">
      <alignment horizontal="center" readingOrder="0" shrinkToFit="0" vertical="center" wrapText="1"/>
    </xf>
    <xf borderId="11" fillId="31" fontId="29" numFmtId="0" xfId="0" applyAlignment="1" applyBorder="1" applyFont="1">
      <alignment horizontal="center" shrinkToFit="0" vertical="center" wrapText="1"/>
    </xf>
    <xf borderId="11" fillId="33" fontId="29" numFmtId="0" xfId="0" applyAlignment="1" applyBorder="1" applyFont="1">
      <alignment horizontal="center" shrinkToFit="0" vertical="center" wrapText="1"/>
    </xf>
    <xf borderId="1" fillId="33" fontId="29" numFmtId="0" xfId="0" applyAlignment="1" applyBorder="1" applyFont="1">
      <alignment horizontal="center" shrinkToFit="0" vertical="center" wrapText="1"/>
    </xf>
    <xf borderId="0" fillId="33" fontId="6" numFmtId="0" xfId="0" applyAlignment="1" applyFont="1">
      <alignment horizontal="center" readingOrder="0" shrinkToFit="0" wrapText="1"/>
    </xf>
    <xf borderId="0" fillId="34" fontId="29" numFmtId="0" xfId="0" applyAlignment="1" applyFill="1" applyFont="1">
      <alignment horizontal="center" shrinkToFit="0" vertical="center" wrapText="1"/>
    </xf>
    <xf borderId="1" fillId="19" fontId="29" numFmtId="0" xfId="0" applyAlignment="1" applyBorder="1" applyFont="1">
      <alignment horizontal="center" readingOrder="0" shrinkToFit="0" vertical="center" wrapText="1"/>
    </xf>
    <xf borderId="12" fillId="32" fontId="43" numFmtId="0" xfId="0" applyAlignment="1" applyBorder="1" applyFont="1">
      <alignment horizontal="center" shrinkToFit="0" vertical="center" wrapText="1"/>
    </xf>
    <xf borderId="12" fillId="34" fontId="29" numFmtId="0" xfId="0" applyAlignment="1" applyBorder="1" applyFont="1">
      <alignment horizontal="center" shrinkToFit="0" vertical="center" wrapText="1"/>
    </xf>
    <xf borderId="0" fillId="34" fontId="29" numFmtId="0" xfId="0" applyAlignment="1" applyFont="1">
      <alignment horizontal="center" readingOrder="0" shrinkToFit="0" vertical="center" wrapText="1"/>
    </xf>
    <xf borderId="3" fillId="19" fontId="29" numFmtId="0" xfId="0" applyAlignment="1" applyBorder="1" applyFont="1">
      <alignment horizontal="center" shrinkToFit="0" vertical="center" wrapText="1"/>
    </xf>
    <xf borderId="1" fillId="32" fontId="43" numFmtId="0" xfId="0" applyAlignment="1" applyBorder="1" applyFont="1">
      <alignment horizontal="center" readingOrder="0" shrinkToFit="0" vertical="center" wrapText="1"/>
    </xf>
    <xf borderId="17" fillId="19" fontId="29" numFmtId="0" xfId="0" applyAlignment="1" applyBorder="1" applyFont="1">
      <alignment horizontal="center" shrinkToFit="0" vertical="center" wrapText="1"/>
    </xf>
    <xf borderId="11" fillId="34" fontId="29" numFmtId="0" xfId="0" applyAlignment="1" applyBorder="1" applyFont="1">
      <alignment horizontal="center" readingOrder="0" shrinkToFit="0" vertical="center" wrapText="1"/>
    </xf>
    <xf borderId="12" fillId="30" fontId="43" numFmtId="0" xfId="0" applyAlignment="1" applyBorder="1" applyFont="1">
      <alignment horizontal="center" readingOrder="0" shrinkToFit="0" vertical="center" wrapText="1"/>
    </xf>
    <xf borderId="17" fillId="19" fontId="29" numFmtId="0" xfId="0" applyAlignment="1" applyBorder="1" applyFont="1">
      <alignment horizontal="center" readingOrder="0" shrinkToFit="0" vertical="center" wrapText="1"/>
    </xf>
    <xf borderId="1" fillId="34" fontId="29" numFmtId="0" xfId="0" applyAlignment="1" applyBorder="1" applyFont="1">
      <alignment horizontal="center" shrinkToFit="0" vertical="center" wrapText="1"/>
    </xf>
    <xf borderId="3" fillId="19" fontId="29" numFmtId="0" xfId="0" applyAlignment="1" applyBorder="1" applyFont="1">
      <alignment horizontal="center" readingOrder="0" shrinkToFit="0" vertical="center" wrapText="1"/>
    </xf>
    <xf borderId="0" fillId="34" fontId="6" numFmtId="0" xfId="0" applyAlignment="1" applyFont="1">
      <alignment horizontal="center" readingOrder="0" shrinkToFit="0" wrapText="1"/>
    </xf>
    <xf borderId="5" fillId="19" fontId="29" numFmtId="0" xfId="0" applyAlignment="1" applyBorder="1" applyFont="1">
      <alignment horizontal="center" readingOrder="0" shrinkToFit="0" vertical="center" wrapText="1"/>
    </xf>
    <xf borderId="1" fillId="30" fontId="43" numFmtId="0" xfId="0" applyAlignment="1" applyBorder="1" applyFont="1">
      <alignment horizontal="center" shrinkToFit="0" vertical="center" wrapText="1"/>
    </xf>
    <xf borderId="7" fillId="19" fontId="29" numFmtId="0" xfId="0" applyAlignment="1" applyBorder="1" applyFont="1">
      <alignment horizontal="center" readingOrder="0" shrinkToFit="0" vertical="center" wrapText="1"/>
    </xf>
    <xf borderId="3" fillId="19" fontId="29" numFmtId="0" xfId="0" applyAlignment="1" applyBorder="1" applyFont="1">
      <alignment horizontal="center" readingOrder="0" shrinkToFit="0" wrapText="1"/>
    </xf>
    <xf borderId="9" fillId="11" fontId="42" numFmtId="0" xfId="0" applyAlignment="1" applyBorder="1" applyFont="1">
      <alignment horizontal="center" readingOrder="0" shrinkToFit="0" vertical="center" wrapText="1"/>
    </xf>
    <xf borderId="8" fillId="35" fontId="6" numFmtId="0" xfId="0" applyAlignment="1" applyBorder="1" applyFill="1" applyFont="1">
      <alignment horizontal="center" shrinkToFit="0" vertical="center" wrapText="1"/>
    </xf>
    <xf borderId="16" fillId="35" fontId="6" numFmtId="0" xfId="0" applyAlignment="1" applyBorder="1" applyFont="1">
      <alignment horizontal="center" shrinkToFit="0" vertical="center" wrapText="1"/>
    </xf>
    <xf borderId="16" fillId="35" fontId="6" numFmtId="0" xfId="0" applyAlignment="1" applyBorder="1" applyFont="1">
      <alignment horizontal="center" readingOrder="0" shrinkToFit="0" vertical="center" wrapText="1"/>
    </xf>
    <xf borderId="0" fillId="34" fontId="6" numFmtId="0" xfId="0" applyAlignment="1" applyFont="1">
      <alignment horizontal="center" shrinkToFit="0" wrapText="1"/>
    </xf>
    <xf borderId="0" fillId="36" fontId="6" numFmtId="0" xfId="0" applyAlignment="1" applyFill="1" applyFont="1">
      <alignment horizontal="center" shrinkToFit="0" vertical="center" wrapText="1"/>
    </xf>
    <xf borderId="12" fillId="36" fontId="6" numFmtId="0" xfId="0" applyAlignment="1" applyBorder="1" applyFont="1">
      <alignment horizontal="center" shrinkToFit="0" vertical="center" wrapText="1"/>
    </xf>
    <xf borderId="0" fillId="5" fontId="6" numFmtId="0" xfId="0" applyAlignment="1" applyFont="1">
      <alignment shrinkToFit="0" vertical="center" wrapText="1"/>
    </xf>
    <xf borderId="0" fillId="33" fontId="6" numFmtId="0" xfId="0" applyAlignment="1" applyFont="1">
      <alignment horizontal="center" shrinkToFit="0" wrapText="1"/>
    </xf>
    <xf borderId="11" fillId="36" fontId="6" numFmtId="0" xfId="0" applyAlignment="1" applyBorder="1" applyFont="1">
      <alignment horizontal="center" shrinkToFit="0" vertical="center" wrapText="1"/>
    </xf>
    <xf borderId="1" fillId="36" fontId="6" numFmtId="0" xfId="0" applyAlignment="1" applyBorder="1" applyFont="1">
      <alignment horizontal="center" readingOrder="0" shrinkToFit="0" vertical="center" wrapText="1"/>
    </xf>
    <xf borderId="16" fillId="11" fontId="42" numFmtId="0" xfId="0" applyAlignment="1" applyBorder="1" applyFont="1">
      <alignment horizontal="center" shrinkToFit="0" vertical="center" wrapText="1"/>
    </xf>
    <xf borderId="0" fillId="35" fontId="6" numFmtId="0" xfId="0" applyAlignment="1" applyFont="1">
      <alignment horizontal="center" shrinkToFit="0" vertical="center" wrapText="1"/>
    </xf>
    <xf borderId="0" fillId="37" fontId="43" numFmtId="0" xfId="0" applyAlignment="1" applyFill="1" applyFont="1">
      <alignment horizontal="center" shrinkToFit="0" vertical="center" wrapText="1"/>
    </xf>
    <xf borderId="12" fillId="35" fontId="6" numFmtId="0" xfId="0" applyAlignment="1" applyBorder="1" applyFont="1">
      <alignment horizontal="center" readingOrder="0" shrinkToFit="0" vertical="center" wrapText="1"/>
    </xf>
    <xf borderId="12" fillId="37" fontId="43" numFmtId="0" xfId="0" applyAlignment="1" applyBorder="1" applyFont="1">
      <alignment horizontal="center" shrinkToFit="0" vertical="center" wrapText="1"/>
    </xf>
    <xf borderId="0" fillId="37" fontId="43" numFmtId="0" xfId="0" applyAlignment="1" applyFont="1">
      <alignment horizontal="center" readingOrder="0" shrinkToFit="0" vertical="center" wrapText="1"/>
    </xf>
    <xf borderId="12" fillId="35" fontId="6" numFmtId="0" xfId="0" applyAlignment="1" applyBorder="1" applyFont="1">
      <alignment horizontal="center" shrinkToFit="0" vertical="center" wrapText="1"/>
    </xf>
    <xf borderId="11" fillId="37" fontId="43" numFmtId="0" xfId="0" applyAlignment="1" applyBorder="1" applyFont="1">
      <alignment horizontal="center" readingOrder="0" shrinkToFit="0" vertical="center" wrapText="1"/>
    </xf>
    <xf borderId="0" fillId="38" fontId="13" numFmtId="0" xfId="0" applyAlignment="1" applyFill="1" applyFont="1">
      <alignment horizontal="center" shrinkToFit="0" vertical="center" wrapText="1"/>
    </xf>
    <xf borderId="1" fillId="37" fontId="43" numFmtId="0" xfId="0" applyAlignment="1" applyBorder="1" applyFont="1">
      <alignment horizontal="center" shrinkToFit="0" vertical="center" wrapText="1"/>
    </xf>
    <xf borderId="11" fillId="35" fontId="6" numFmtId="0" xfId="0" applyAlignment="1" applyBorder="1" applyFont="1">
      <alignment horizontal="center" shrinkToFit="0" vertical="center" wrapText="1"/>
    </xf>
    <xf borderId="12" fillId="38" fontId="13" numFmtId="0" xfId="0" applyAlignment="1" applyBorder="1" applyFont="1">
      <alignment horizontal="center" shrinkToFit="0" vertical="center" wrapText="1"/>
    </xf>
    <xf borderId="0" fillId="39" fontId="43" numFmtId="0" xfId="0" applyAlignment="1" applyFill="1" applyFont="1">
      <alignment horizontal="center" shrinkToFit="0" vertical="center" wrapText="1"/>
    </xf>
    <xf borderId="1" fillId="35" fontId="6" numFmtId="0" xfId="0" applyAlignment="1" applyBorder="1" applyFont="1">
      <alignment horizontal="center" shrinkToFit="0" vertical="center" wrapText="1"/>
    </xf>
    <xf borderId="12" fillId="39" fontId="43" numFmtId="0" xfId="0" applyAlignment="1" applyBorder="1" applyFont="1">
      <alignment horizontal="center" shrinkToFit="0" vertical="center" wrapText="1"/>
    </xf>
    <xf borderId="0" fillId="38" fontId="13" numFmtId="0" xfId="0" applyAlignment="1" applyFont="1">
      <alignment horizontal="center" readingOrder="0" shrinkToFit="0" vertical="center" wrapText="1"/>
    </xf>
    <xf borderId="0" fillId="35" fontId="6" numFmtId="0" xfId="0" applyAlignment="1" applyFont="1">
      <alignment horizontal="center" readingOrder="0" shrinkToFit="0" vertical="center" wrapText="1"/>
    </xf>
    <xf borderId="11" fillId="38" fontId="13" numFmtId="0" xfId="0" applyAlignment="1" applyBorder="1" applyFont="1">
      <alignment horizontal="center" shrinkToFit="0" vertical="center" wrapText="1"/>
    </xf>
    <xf borderId="11" fillId="39" fontId="43" numFmtId="0" xfId="0" applyAlignment="1" applyBorder="1" applyFont="1">
      <alignment horizontal="center" readingOrder="0" shrinkToFit="0" vertical="center" wrapText="1"/>
    </xf>
    <xf borderId="1" fillId="38" fontId="13" numFmtId="0" xfId="0" applyAlignment="1" applyBorder="1" applyFont="1">
      <alignment horizontal="center" shrinkToFit="0" vertical="center" wrapText="1"/>
    </xf>
    <xf borderId="12" fillId="36" fontId="6" numFmtId="0" xfId="0" applyAlignment="1" applyBorder="1" applyFont="1">
      <alignment horizontal="center" readingOrder="0" shrinkToFit="0" vertical="center" wrapText="1"/>
    </xf>
    <xf borderId="0" fillId="39" fontId="43" numFmtId="0" xfId="0" applyAlignment="1" applyFont="1">
      <alignment horizontal="center" readingOrder="0" shrinkToFit="0" vertical="center" wrapText="1"/>
    </xf>
    <xf borderId="0" fillId="40" fontId="13" numFmtId="0" xfId="0" applyAlignment="1" applyFill="1" applyFont="1">
      <alignment horizontal="center" shrinkToFit="0" vertical="center" wrapText="1"/>
    </xf>
    <xf borderId="1" fillId="39" fontId="43" numFmtId="0" xfId="0" applyAlignment="1" applyBorder="1" applyFont="1">
      <alignment horizontal="center" readingOrder="0" shrinkToFit="0" vertical="center" wrapText="1"/>
    </xf>
    <xf borderId="12" fillId="40" fontId="13" numFmtId="0" xfId="0" applyAlignment="1" applyBorder="1" applyFont="1">
      <alignment horizontal="center" shrinkToFit="0" vertical="center" wrapText="1"/>
    </xf>
    <xf borderId="0" fillId="37" fontId="43" numFmtId="0" xfId="0" applyAlignment="1" applyFont="1">
      <alignment horizontal="center" shrinkToFit="0" vertical="center" wrapText="1"/>
    </xf>
    <xf borderId="0" fillId="40" fontId="13" numFmtId="0" xfId="0" applyAlignment="1" applyFont="1">
      <alignment horizontal="center" readingOrder="0" shrinkToFit="0" vertical="center" wrapText="1"/>
    </xf>
    <xf borderId="12" fillId="37" fontId="43" numFmtId="0" xfId="0" applyAlignment="1" applyBorder="1" applyFont="1">
      <alignment horizontal="center" shrinkToFit="0" vertical="center" wrapText="1"/>
    </xf>
    <xf borderId="1" fillId="36" fontId="6" numFmtId="0" xfId="0" applyAlignment="1" applyBorder="1" applyFont="1">
      <alignment horizontal="center" shrinkToFit="0" vertical="center" wrapText="1"/>
    </xf>
    <xf borderId="11" fillId="40" fontId="13" numFmtId="0" xfId="0" applyAlignment="1" applyBorder="1" applyFont="1">
      <alignment horizontal="center" readingOrder="0" shrinkToFit="0" vertical="center" wrapText="1"/>
    </xf>
    <xf borderId="1" fillId="40" fontId="13" numFmtId="0" xfId="0" applyAlignment="1" applyBorder="1" applyFont="1">
      <alignment horizontal="center" shrinkToFit="0" vertical="center" wrapText="1"/>
    </xf>
    <xf borderId="1" fillId="37" fontId="43" numFmtId="0" xfId="0" applyAlignment="1" applyBorder="1" applyFont="1">
      <alignment horizontal="center" readingOrder="0" shrinkToFit="0" vertical="center" wrapText="1"/>
    </xf>
    <xf borderId="0" fillId="38" fontId="13" numFmtId="0" xfId="0" applyAlignment="1" applyFont="1">
      <alignment horizontal="center" shrinkToFit="0" vertical="center" wrapText="1"/>
    </xf>
    <xf borderId="0" fillId="39" fontId="43" numFmtId="0" xfId="0" applyAlignment="1" applyFont="1">
      <alignment horizontal="center" shrinkToFit="0" vertical="center" wrapText="1"/>
    </xf>
    <xf borderId="12" fillId="38" fontId="13" numFmtId="0" xfId="0" applyAlignment="1" applyBorder="1" applyFont="1">
      <alignment horizontal="center" shrinkToFit="0" vertical="center" wrapText="1"/>
    </xf>
    <xf borderId="12" fillId="39" fontId="43" numFmtId="0" xfId="0" applyAlignment="1" applyBorder="1" applyFont="1">
      <alignment horizontal="center" shrinkToFit="0" vertical="center" wrapText="1"/>
    </xf>
    <xf borderId="12" fillId="39" fontId="43" numFmtId="0" xfId="0" applyAlignment="1" applyBorder="1" applyFont="1">
      <alignment horizontal="center" readingOrder="0" shrinkToFit="0" vertical="center" wrapText="1"/>
    </xf>
    <xf borderId="11" fillId="38" fontId="13" numFmtId="0" xfId="0" applyAlignment="1" applyBorder="1" applyFont="1">
      <alignment horizontal="center" readingOrder="0" shrinkToFit="0" vertical="center" wrapText="1"/>
    </xf>
    <xf borderId="1" fillId="38" fontId="13" numFmtId="0" xfId="0" applyAlignment="1" applyBorder="1" applyFont="1">
      <alignment horizontal="center" readingOrder="0" shrinkToFit="0" vertical="center" wrapText="1"/>
    </xf>
    <xf borderId="1" fillId="39" fontId="43" numFmtId="0" xfId="0" applyAlignment="1" applyBorder="1" applyFont="1">
      <alignment horizontal="center" shrinkToFit="0" vertical="center" wrapText="1"/>
    </xf>
    <xf borderId="0" fillId="40" fontId="13" numFmtId="0" xfId="0" applyAlignment="1" applyFont="1">
      <alignment horizontal="center" shrinkToFit="0" vertical="center" wrapText="1"/>
    </xf>
    <xf borderId="12" fillId="37" fontId="43" numFmtId="0" xfId="0" applyAlignment="1" applyBorder="1" applyFont="1">
      <alignment horizontal="center" readingOrder="0" shrinkToFit="0" vertical="center" wrapText="1"/>
    </xf>
    <xf borderId="1" fillId="40" fontId="13" numFmtId="0" xfId="0" applyAlignment="1" applyBorder="1" applyFont="1">
      <alignment horizontal="center" shrinkToFit="0" vertical="center" wrapText="1"/>
    </xf>
    <xf borderId="0" fillId="36" fontId="6" numFmtId="0" xfId="0" applyAlignment="1" applyFont="1">
      <alignment horizontal="center" readingOrder="0" shrinkToFit="0" vertical="center" wrapText="1"/>
    </xf>
    <xf borderId="1" fillId="37" fontId="43" numFmtId="0" xfId="0" applyAlignment="1" applyBorder="1" applyFont="1">
      <alignment horizontal="center" shrinkToFit="0" vertical="center" wrapText="1"/>
    </xf>
    <xf borderId="12" fillId="40" fontId="13" numFmtId="0" xfId="0" applyAlignment="1" applyBorder="1" applyFont="1">
      <alignment horizontal="center" readingOrder="0" shrinkToFit="0" vertical="center" wrapText="1"/>
    </xf>
    <xf borderId="12" fillId="38" fontId="13" numFmtId="0" xfId="0" applyAlignment="1" applyBorder="1" applyFont="1">
      <alignment horizontal="center" readingOrder="0" shrinkToFit="0" vertical="center" wrapText="1"/>
    </xf>
    <xf borderId="1" fillId="38" fontId="13" numFmtId="0" xfId="0" applyAlignment="1" applyBorder="1" applyFont="1">
      <alignment horizontal="center" shrinkToFit="0" vertical="center" wrapText="1"/>
    </xf>
    <xf borderId="3" fillId="39" fontId="43" numFmtId="0" xfId="0" applyAlignment="1" applyBorder="1" applyFont="1">
      <alignment horizontal="center" shrinkToFit="0" vertical="center" wrapText="1"/>
    </xf>
    <xf borderId="1" fillId="35" fontId="6" numFmtId="0" xfId="0" applyAlignment="1" applyBorder="1" applyFont="1">
      <alignment horizontal="center" readingOrder="0" shrinkToFit="0" vertical="center" wrapText="1"/>
    </xf>
    <xf borderId="17" fillId="39" fontId="43" numFmtId="0" xfId="0" applyAlignment="1" applyBorder="1" applyFont="1">
      <alignment horizontal="center" shrinkToFit="0" vertical="center" wrapText="1"/>
    </xf>
    <xf borderId="12" fillId="40" fontId="13" numFmtId="0" xfId="0" applyAlignment="1" applyBorder="1" applyFont="1">
      <alignment horizontal="center" shrinkToFit="0" vertical="center" wrapText="1"/>
    </xf>
    <xf borderId="5" fillId="39" fontId="43" numFmtId="0" xfId="0" applyAlignment="1" applyBorder="1" applyFont="1">
      <alignment horizontal="center" readingOrder="0" shrinkToFit="0" vertical="center" wrapText="1"/>
    </xf>
    <xf borderId="11" fillId="40" fontId="13" numFmtId="0" xfId="0" applyAlignment="1" applyBorder="1" applyFont="1">
      <alignment horizontal="center" shrinkToFit="0" vertical="center" wrapText="1"/>
    </xf>
    <xf borderId="7" fillId="39" fontId="43" numFmtId="0" xfId="0" applyAlignment="1" applyBorder="1" applyFont="1">
      <alignment horizontal="center" shrinkToFit="0" vertical="center" wrapText="1"/>
    </xf>
    <xf borderId="3" fillId="39" fontId="43" numFmtId="0" xfId="0" applyAlignment="1" applyBorder="1" applyFont="1">
      <alignment horizontal="left" readingOrder="0" shrinkToFit="0" vertical="center" wrapText="1"/>
    </xf>
    <xf borderId="0" fillId="41" fontId="29" numFmtId="0" xfId="0" applyAlignment="1" applyFill="1" applyFont="1">
      <alignment horizontal="center" vertical="center"/>
    </xf>
    <xf borderId="12" fillId="41" fontId="29" numFmtId="0" xfId="0" applyAlignment="1" applyBorder="1" applyFont="1">
      <alignment horizontal="center" vertical="center"/>
    </xf>
    <xf borderId="0" fillId="41" fontId="29" numFmtId="0" xfId="0" applyAlignment="1" applyFont="1">
      <alignment horizontal="center" readingOrder="0" vertical="center"/>
    </xf>
    <xf borderId="11" fillId="41" fontId="29" numFmtId="0" xfId="0" applyAlignment="1" applyBorder="1" applyFont="1">
      <alignment horizontal="center" readingOrder="0" vertical="center"/>
    </xf>
    <xf borderId="7" fillId="35" fontId="6" numFmtId="0" xfId="0" applyAlignment="1" applyBorder="1" applyFont="1">
      <alignment horizontal="center" shrinkToFit="0" vertical="center" wrapText="1"/>
    </xf>
    <xf borderId="1" fillId="41" fontId="29" numFmtId="0" xfId="0" applyAlignment="1" applyBorder="1" applyFont="1">
      <alignment horizontal="center" shrinkToFit="0" vertical="center" wrapText="1"/>
    </xf>
    <xf borderId="0" fillId="41" fontId="29" numFmtId="0" xfId="0" applyAlignment="1" applyFont="1">
      <alignment horizontal="center" readingOrder="0" shrinkToFit="0" vertical="center" wrapText="1"/>
    </xf>
    <xf borderId="3" fillId="35" fontId="6" numFmtId="0" xfId="0" applyAlignment="1" applyBorder="1" applyFont="1">
      <alignment horizontal="center" shrinkToFit="0" vertical="center" wrapText="1"/>
    </xf>
    <xf borderId="0" fillId="42" fontId="29" numFmtId="0" xfId="0" applyAlignment="1" applyFill="1" applyFont="1">
      <alignment horizontal="center" vertical="center"/>
    </xf>
    <xf borderId="0" fillId="43" fontId="43" numFmtId="0" xfId="0" applyAlignment="1" applyFill="1" applyFont="1">
      <alignment horizontal="center" shrinkToFit="0" vertical="center" wrapText="1"/>
    </xf>
    <xf borderId="12" fillId="42" fontId="29" numFmtId="0" xfId="0" applyAlignment="1" applyBorder="1" applyFont="1">
      <alignment horizontal="center" vertical="center"/>
    </xf>
    <xf borderId="18" fillId="43" fontId="43" numFmtId="0" xfId="0" applyAlignment="1" applyBorder="1" applyFont="1">
      <alignment horizontal="center" shrinkToFit="0" vertical="center" wrapText="1"/>
    </xf>
    <xf borderId="0" fillId="42" fontId="29" numFmtId="0" xfId="0" applyAlignment="1" applyFont="1">
      <alignment horizontal="center" readingOrder="0" vertical="center"/>
    </xf>
    <xf borderId="19" fillId="43" fontId="43" numFmtId="0" xfId="0" applyAlignment="1" applyBorder="1" applyFont="1">
      <alignment horizontal="center" shrinkToFit="0" vertical="center" wrapText="1"/>
    </xf>
    <xf borderId="11" fillId="42" fontId="29" numFmtId="0" xfId="0" applyAlignment="1" applyBorder="1" applyFont="1">
      <alignment horizontal="center" vertical="center"/>
    </xf>
    <xf borderId="20" fillId="43" fontId="43" numFmtId="0" xfId="0" applyAlignment="1" applyBorder="1" applyFont="1">
      <alignment horizontal="center" shrinkToFit="0" vertical="center" wrapText="1"/>
    </xf>
    <xf borderId="1" fillId="42" fontId="29" numFmtId="0" xfId="0" applyAlignment="1" applyBorder="1" applyFont="1">
      <alignment horizontal="center" shrinkToFit="0" vertical="center" wrapText="1"/>
    </xf>
    <xf borderId="0" fillId="43" fontId="43" numFmtId="0" xfId="0" applyAlignment="1" applyFont="1">
      <alignment horizontal="center" readingOrder="0" shrinkToFit="0" vertical="center" wrapText="1"/>
    </xf>
    <xf borderId="0" fillId="42" fontId="29" numFmtId="0" xfId="0" applyAlignment="1" applyFont="1">
      <alignment horizontal="center" readingOrder="0" shrinkToFit="0" vertical="center" wrapText="1"/>
    </xf>
    <xf borderId="0" fillId="44" fontId="43" numFmtId="0" xfId="0" applyAlignment="1" applyFill="1" applyFont="1">
      <alignment horizontal="center" shrinkToFit="0" vertical="center" wrapText="1"/>
    </xf>
    <xf borderId="18" fillId="44" fontId="43" numFmtId="0" xfId="0" applyAlignment="1" applyBorder="1" applyFont="1">
      <alignment horizontal="center" shrinkToFit="0" vertical="center" wrapText="1"/>
    </xf>
    <xf borderId="11" fillId="41" fontId="29" numFmtId="0" xfId="0" applyAlignment="1" applyBorder="1" applyFont="1">
      <alignment horizontal="center" vertical="center"/>
    </xf>
    <xf borderId="19" fillId="44" fontId="43" numFmtId="0" xfId="0" applyAlignment="1" applyBorder="1" applyFont="1">
      <alignment horizontal="center" shrinkToFit="0" vertical="center" wrapText="1"/>
    </xf>
    <xf borderId="20" fillId="44" fontId="43" numFmtId="0" xfId="0" applyAlignment="1" applyBorder="1" applyFont="1">
      <alignment horizontal="center" shrinkToFit="0" vertical="center" wrapText="1"/>
    </xf>
    <xf borderId="12" fillId="42" fontId="29" numFmtId="0" xfId="0" applyAlignment="1" applyBorder="1" applyFont="1">
      <alignment horizontal="center" readingOrder="0" vertical="center"/>
    </xf>
    <xf borderId="0" fillId="44" fontId="43" numFmtId="0" xfId="0" applyAlignment="1" applyFont="1">
      <alignment horizontal="center" readingOrder="0" shrinkToFit="0" vertical="center" wrapText="1"/>
    </xf>
    <xf borderId="0" fillId="41" fontId="29" numFmtId="0" xfId="0" applyAlignment="1" applyFont="1">
      <alignment horizontal="center" vertical="center"/>
    </xf>
    <xf borderId="20" fillId="44" fontId="43" numFmtId="0" xfId="0" applyAlignment="1" applyBorder="1" applyFont="1">
      <alignment horizontal="center" readingOrder="0" shrinkToFit="0" vertical="center" wrapText="1"/>
    </xf>
    <xf borderId="18" fillId="43" fontId="43" numFmtId="0" xfId="0" applyAlignment="1" applyBorder="1" applyFont="1">
      <alignment horizontal="center" shrinkToFit="0" vertical="center" wrapText="1"/>
    </xf>
    <xf borderId="0" fillId="42" fontId="29" numFmtId="0" xfId="0" applyAlignment="1" applyFont="1">
      <alignment horizontal="center" vertical="center"/>
    </xf>
    <xf borderId="0" fillId="43" fontId="43" numFmtId="0" xfId="0" applyAlignment="1" applyFont="1">
      <alignment horizontal="center" shrinkToFit="0" vertical="center" wrapText="1"/>
    </xf>
    <xf borderId="11" fillId="42" fontId="29" numFmtId="0" xfId="0" applyAlignment="1" applyBorder="1" applyFont="1">
      <alignment horizontal="center" readingOrder="0" vertical="center"/>
    </xf>
    <xf borderId="19" fillId="43" fontId="43" numFmtId="0" xfId="0" applyAlignment="1" applyBorder="1" applyFont="1">
      <alignment horizontal="center" shrinkToFit="0" vertical="center" wrapText="1"/>
    </xf>
    <xf borderId="0" fillId="44" fontId="43" numFmtId="0" xfId="0" applyAlignment="1" applyFont="1">
      <alignment horizontal="center" shrinkToFit="0" vertical="center" wrapText="1"/>
    </xf>
    <xf borderId="12" fillId="41" fontId="29" numFmtId="0" xfId="0" applyAlignment="1" applyBorder="1" applyFont="1">
      <alignment horizontal="center" readingOrder="0" vertical="center"/>
    </xf>
    <xf borderId="18" fillId="44" fontId="43" numFmtId="0" xfId="0" applyAlignment="1" applyBorder="1" applyFont="1">
      <alignment horizontal="center" shrinkToFit="0" vertical="center" wrapText="1"/>
    </xf>
    <xf borderId="19" fillId="44" fontId="43" numFmtId="0" xfId="0" applyAlignment="1" applyBorder="1" applyFont="1">
      <alignment horizontal="center" shrinkToFit="0" vertical="center" wrapText="1"/>
    </xf>
    <xf borderId="20" fillId="44" fontId="43" numFmtId="0" xfId="0" applyAlignment="1" applyBorder="1" applyFont="1">
      <alignment horizontal="center" shrinkToFit="0" vertical="center" wrapText="1"/>
    </xf>
    <xf borderId="1" fillId="42" fontId="29" numFmtId="0" xfId="0" applyAlignment="1" applyBorder="1" applyFont="1">
      <alignment horizontal="center" readingOrder="0" shrinkToFit="0" vertical="center" wrapText="1"/>
    </xf>
    <xf borderId="0" fillId="42" fontId="29" numFmtId="0" xfId="0" applyAlignment="1" applyFont="1">
      <alignment horizontal="center" readingOrder="0" shrinkToFit="0" vertical="center" wrapText="1"/>
    </xf>
    <xf borderId="20" fillId="43" fontId="43" numFmtId="0" xfId="0" applyAlignment="1" applyBorder="1" applyFont="1">
      <alignment horizontal="center" shrinkToFit="0" vertical="center" wrapText="1"/>
    </xf>
    <xf borderId="1" fillId="41" fontId="29" numFmtId="0" xfId="0" applyAlignment="1" applyBorder="1" applyFont="1">
      <alignment horizontal="center" readingOrder="0" shrinkToFit="0" vertical="center" wrapText="1"/>
    </xf>
    <xf borderId="0" fillId="45" fontId="43" numFmtId="0" xfId="0" applyAlignment="1" applyFill="1" applyFont="1">
      <alignment horizontal="center" shrinkToFit="0" vertical="center" wrapText="1"/>
    </xf>
    <xf borderId="12" fillId="45" fontId="43" numFmtId="0" xfId="0" applyAlignment="1" applyBorder="1" applyFont="1">
      <alignment horizontal="center" shrinkToFit="0" vertical="center" wrapText="1"/>
    </xf>
    <xf borderId="11" fillId="45" fontId="43" numFmtId="0" xfId="0" applyAlignment="1" applyBorder="1" applyFont="1">
      <alignment horizontal="center" shrinkToFit="0" vertical="center" wrapText="1"/>
    </xf>
    <xf borderId="1" fillId="45" fontId="43" numFmtId="0" xfId="0" applyAlignment="1" applyBorder="1" applyFont="1">
      <alignment horizontal="center" shrinkToFit="0" vertical="center" wrapText="1"/>
    </xf>
    <xf borderId="0" fillId="45" fontId="43" numFmtId="0" xfId="0" applyAlignment="1" applyFont="1">
      <alignment horizontal="center" readingOrder="0" shrinkToFit="0" vertical="center" wrapText="1"/>
    </xf>
    <xf borderId="0" fillId="46" fontId="43" numFmtId="0" xfId="0" applyAlignment="1" applyFill="1" applyFont="1">
      <alignment horizontal="center" shrinkToFit="0" vertical="center" wrapText="1"/>
    </xf>
    <xf borderId="12" fillId="46" fontId="43" numFmtId="0" xfId="0" applyAlignment="1" applyBorder="1" applyFont="1">
      <alignment horizontal="center" shrinkToFit="0" vertical="center" wrapText="1"/>
    </xf>
    <xf borderId="12" fillId="46" fontId="43" numFmtId="0" xfId="0" applyAlignment="1" applyBorder="1" applyFont="1">
      <alignment horizontal="center" readingOrder="0" shrinkToFit="0" vertical="center" wrapText="1"/>
    </xf>
    <xf borderId="0" fillId="47" fontId="43" numFmtId="0" xfId="0" applyAlignment="1" applyFill="1" applyFont="1">
      <alignment horizontal="center" shrinkToFit="0" vertical="center" wrapText="1"/>
    </xf>
    <xf borderId="11" fillId="46" fontId="43" numFmtId="0" xfId="0" applyAlignment="1" applyBorder="1" applyFont="1">
      <alignment horizontal="center" shrinkToFit="0" vertical="center" wrapText="1"/>
    </xf>
    <xf borderId="18" fillId="47" fontId="43" numFmtId="0" xfId="0" applyAlignment="1" applyBorder="1" applyFont="1">
      <alignment horizontal="center" shrinkToFit="0" vertical="center" wrapText="1"/>
    </xf>
    <xf borderId="1" fillId="46" fontId="43" numFmtId="0" xfId="0" applyAlignment="1" applyBorder="1" applyFont="1">
      <alignment horizontal="center" shrinkToFit="0" vertical="center" wrapText="1"/>
    </xf>
    <xf borderId="0" fillId="46" fontId="43" numFmtId="0" xfId="0" applyAlignment="1" applyFont="1">
      <alignment horizontal="center" readingOrder="0" shrinkToFit="0" vertical="center" wrapText="1"/>
    </xf>
    <xf borderId="0" fillId="47" fontId="43" numFmtId="0" xfId="0" applyAlignment="1" applyFont="1">
      <alignment horizontal="center" readingOrder="0" shrinkToFit="0" vertical="center" wrapText="1"/>
    </xf>
    <xf borderId="0" fillId="45" fontId="43" numFmtId="0" xfId="0" applyAlignment="1" applyFont="1">
      <alignment horizontal="center" readingOrder="0" shrinkToFit="0" vertical="center" wrapText="1"/>
    </xf>
    <xf borderId="19" fillId="47" fontId="43" numFmtId="0" xfId="0" applyAlignment="1" applyBorder="1" applyFont="1">
      <alignment horizontal="center" shrinkToFit="0" vertical="center" wrapText="1"/>
    </xf>
    <xf borderId="20" fillId="47" fontId="43" numFmtId="0" xfId="0" applyAlignment="1" applyBorder="1" applyFont="1">
      <alignment horizontal="center" shrinkToFit="0" vertical="center" wrapText="1"/>
    </xf>
    <xf borderId="0" fillId="45" fontId="43" numFmtId="0" xfId="0" applyAlignment="1" applyFont="1">
      <alignment horizontal="center" shrinkToFit="0" vertical="center" wrapText="1"/>
    </xf>
    <xf borderId="11" fillId="45" fontId="43" numFmtId="0" xfId="0" applyAlignment="1" applyBorder="1" applyFont="1">
      <alignment horizontal="center" readingOrder="0" shrinkToFit="0" vertical="center" wrapText="1"/>
    </xf>
    <xf borderId="18" fillId="47" fontId="43" numFmtId="0" xfId="0" applyAlignment="1" applyBorder="1" applyFont="1">
      <alignment horizontal="center" readingOrder="0" shrinkToFit="0" vertical="center" wrapText="1"/>
    </xf>
    <xf borderId="19" fillId="47" fontId="43" numFmtId="0" xfId="0" applyAlignment="1" applyBorder="1" applyFont="1">
      <alignment horizontal="center" readingOrder="0" shrinkToFit="0" vertical="center" wrapText="1"/>
    </xf>
    <xf borderId="20" fillId="47" fontId="43" numFmtId="0" xfId="0" applyAlignment="1" applyBorder="1" applyFont="1">
      <alignment horizontal="center" readingOrder="0" shrinkToFit="0" vertical="center" wrapText="1"/>
    </xf>
    <xf borderId="0" fillId="47" fontId="43" numFmtId="0" xfId="0" applyAlignment="1" applyFont="1">
      <alignment horizontal="center" shrinkToFit="0" vertical="center" wrapText="1"/>
    </xf>
    <xf borderId="18" fillId="43" fontId="43" numFmtId="0" xfId="0" applyAlignment="1" applyBorder="1" applyFont="1">
      <alignment horizontal="center" readingOrder="0" shrinkToFit="0" vertical="center" wrapText="1"/>
    </xf>
    <xf borderId="11" fillId="46" fontId="43" numFmtId="0" xfId="0" applyAlignment="1" applyBorder="1" applyFont="1">
      <alignment horizontal="center" readingOrder="0" shrinkToFit="0" vertical="center" wrapText="1"/>
    </xf>
    <xf borderId="19" fillId="43" fontId="43" numFmtId="0" xfId="0" applyAlignment="1" applyBorder="1" applyFont="1">
      <alignment horizontal="center" readingOrder="0" shrinkToFit="0" vertical="center" wrapText="1"/>
    </xf>
    <xf borderId="20" fillId="43" fontId="43" numFmtId="0" xfId="0" applyAlignment="1" applyBorder="1" applyFont="1">
      <alignment horizontal="center" readingOrder="0" shrinkToFit="0" vertical="center" wrapText="1"/>
    </xf>
    <xf borderId="0" fillId="48" fontId="29" numFmtId="0" xfId="0" applyAlignment="1" applyFill="1" applyFont="1">
      <alignment horizontal="center" readingOrder="0" shrinkToFit="0" vertical="center" wrapText="1"/>
    </xf>
    <xf borderId="12" fillId="48" fontId="29" numFmtId="0" xfId="0" applyAlignment="1" applyBorder="1" applyFont="1">
      <alignment horizontal="center" readingOrder="0" shrinkToFit="0" vertical="center" wrapText="1"/>
    </xf>
    <xf borderId="11" fillId="48" fontId="29" numFmtId="0" xfId="0" applyAlignment="1" applyBorder="1" applyFont="1">
      <alignment horizontal="center" readingOrder="0" shrinkToFit="0" vertical="center" wrapText="1"/>
    </xf>
    <xf borderId="3" fillId="47" fontId="43" numFmtId="0" xfId="0" applyAlignment="1" applyBorder="1" applyFont="1">
      <alignment horizontal="center" shrinkToFit="0" vertical="center" wrapText="1"/>
    </xf>
    <xf borderId="1" fillId="48" fontId="29" numFmtId="0" xfId="0" applyAlignment="1" applyBorder="1" applyFont="1">
      <alignment horizontal="center" readingOrder="0" shrinkToFit="0" vertical="center" wrapText="1"/>
    </xf>
    <xf borderId="21" fillId="47" fontId="43" numFmtId="0" xfId="0" applyAlignment="1" applyBorder="1" applyFont="1">
      <alignment horizontal="center" shrinkToFit="0" vertical="center" wrapText="1"/>
    </xf>
    <xf borderId="0" fillId="49" fontId="29" numFmtId="0" xfId="0" applyAlignment="1" applyFill="1" applyFont="1">
      <alignment horizontal="center" readingOrder="0" shrinkToFit="0" vertical="center" wrapText="1"/>
    </xf>
    <xf borderId="21" fillId="47" fontId="43" numFmtId="0" xfId="0" applyAlignment="1" applyBorder="1" applyFont="1">
      <alignment horizontal="center" readingOrder="0" shrinkToFit="0" vertical="center" wrapText="1"/>
    </xf>
    <xf borderId="12" fillId="49" fontId="29" numFmtId="0" xfId="0" applyAlignment="1" applyBorder="1" applyFont="1">
      <alignment horizontal="center" readingOrder="0" shrinkToFit="0" vertical="center" wrapText="1"/>
    </xf>
    <xf borderId="3" fillId="47" fontId="43" numFmtId="0" xfId="0" applyAlignment="1" applyBorder="1" applyFont="1">
      <alignment horizontal="center" readingOrder="0" shrinkToFit="0" vertical="center" wrapText="1"/>
    </xf>
    <xf borderId="11" fillId="49" fontId="29" numFmtId="0" xfId="0" applyAlignment="1" applyBorder="1" applyFont="1">
      <alignment horizontal="center" readingOrder="0" shrinkToFit="0" vertical="center" wrapText="1"/>
    </xf>
    <xf borderId="22" fillId="47" fontId="43" numFmtId="0" xfId="0" applyAlignment="1" applyBorder="1" applyFont="1">
      <alignment horizontal="center" shrinkToFit="0" vertical="center" wrapText="1"/>
    </xf>
    <xf borderId="1" fillId="49" fontId="29" numFmtId="0" xfId="0" applyAlignment="1" applyBorder="1" applyFont="1">
      <alignment horizontal="center" readingOrder="0" shrinkToFit="0" vertical="center" wrapText="1"/>
    </xf>
    <xf borderId="23" fillId="47" fontId="43" numFmtId="0" xfId="0" applyAlignment="1" applyBorder="1" applyFont="1">
      <alignment horizontal="center" shrinkToFit="0" vertical="center" wrapText="1"/>
    </xf>
    <xf borderId="3" fillId="49" fontId="29" numFmtId="0" xfId="0" applyAlignment="1" applyBorder="1" applyFont="1">
      <alignment horizontal="center" readingOrder="0" shrinkToFit="0" vertical="center" wrapText="1"/>
    </xf>
    <xf borderId="17" fillId="49" fontId="29" numFmtId="0" xfId="0" applyAlignment="1" applyBorder="1" applyFont="1">
      <alignment horizontal="center" readingOrder="0" shrinkToFit="0" vertical="center" wrapText="1"/>
    </xf>
    <xf borderId="5" fillId="49" fontId="29" numFmtId="0" xfId="0" applyAlignment="1" applyBorder="1" applyFont="1">
      <alignment horizontal="center" readingOrder="0" shrinkToFit="0" vertical="center" wrapText="1"/>
    </xf>
    <xf borderId="7" fillId="49" fontId="29" numFmtId="0" xfId="0" applyAlignment="1" applyBorder="1" applyFont="1">
      <alignment horizontal="center" readingOrder="0" shrinkToFit="0" vertical="center" wrapText="1"/>
    </xf>
    <xf borderId="0" fillId="24" fontId="29" numFmtId="0" xfId="0" applyAlignment="1" applyFont="1">
      <alignment horizontal="center" shrinkToFit="0" vertical="center" wrapText="1"/>
    </xf>
    <xf borderId="12" fillId="24" fontId="29" numFmtId="0" xfId="0" applyAlignment="1" applyBorder="1" applyFont="1">
      <alignment horizontal="center" shrinkToFit="0" vertical="center" wrapText="1"/>
    </xf>
    <xf borderId="0" fillId="24" fontId="29" numFmtId="0" xfId="0" applyAlignment="1" applyFont="1">
      <alignment horizontal="center" readingOrder="0" shrinkToFit="0" vertical="center" wrapText="1"/>
    </xf>
    <xf borderId="11" fillId="24" fontId="29" numFmtId="0" xfId="0" applyAlignment="1" applyBorder="1" applyFont="1">
      <alignment horizontal="center" readingOrder="0" shrinkToFit="0" vertical="center" wrapText="1"/>
    </xf>
    <xf borderId="1" fillId="24" fontId="29" numFmtId="0" xfId="0" applyAlignment="1" applyBorder="1" applyFont="1">
      <alignment horizontal="center" shrinkToFit="0" vertical="center" wrapText="1"/>
    </xf>
    <xf borderId="0" fillId="24" fontId="29" numFmtId="0" xfId="0" applyAlignment="1" applyFont="1">
      <alignment horizontal="center" readingOrder="0" shrinkToFit="0" vertical="center" wrapText="1"/>
    </xf>
    <xf borderId="0" fillId="50" fontId="29" numFmtId="0" xfId="0" applyAlignment="1" applyFill="1" applyFont="1">
      <alignment horizontal="center" shrinkToFit="0" vertical="center" wrapText="1"/>
    </xf>
    <xf borderId="12" fillId="50" fontId="29" numFmtId="0" xfId="0" applyAlignment="1" applyBorder="1" applyFont="1">
      <alignment horizontal="center" readingOrder="0" shrinkToFit="0" vertical="center" wrapText="1"/>
    </xf>
    <xf borderId="0" fillId="51" fontId="29" numFmtId="0" xfId="0" applyAlignment="1" applyFill="1" applyFont="1">
      <alignment horizontal="center" shrinkToFit="0" vertical="center" wrapText="1"/>
    </xf>
    <xf borderId="0" fillId="50" fontId="29" numFmtId="0" xfId="0" applyAlignment="1" applyFont="1">
      <alignment horizontal="center" readingOrder="0" shrinkToFit="0" vertical="center" wrapText="1"/>
    </xf>
    <xf borderId="12" fillId="51" fontId="29" numFmtId="0" xfId="0" applyAlignment="1" applyBorder="1" applyFont="1">
      <alignment horizontal="center" shrinkToFit="0" vertical="center" wrapText="1"/>
    </xf>
    <xf borderId="12" fillId="50" fontId="29" numFmtId="0" xfId="0" applyAlignment="1" applyBorder="1" applyFont="1">
      <alignment horizontal="center" shrinkToFit="0" vertical="center" wrapText="1"/>
    </xf>
    <xf borderId="0" fillId="51" fontId="29" numFmtId="0" xfId="0" applyAlignment="1" applyFont="1">
      <alignment horizontal="center" readingOrder="0" shrinkToFit="0" vertical="center" wrapText="1"/>
    </xf>
    <xf borderId="11" fillId="51" fontId="29" numFmtId="0" xfId="0" applyAlignment="1" applyBorder="1" applyFont="1">
      <alignment horizontal="center" readingOrder="0" shrinkToFit="0" vertical="center" wrapText="1"/>
    </xf>
    <xf borderId="11" fillId="50" fontId="29" numFmtId="0" xfId="0" applyAlignment="1" applyBorder="1" applyFont="1">
      <alignment horizontal="center" readingOrder="0" shrinkToFit="0" vertical="center" wrapText="1"/>
    </xf>
    <xf borderId="1" fillId="51" fontId="29" numFmtId="0" xfId="0" applyAlignment="1" applyBorder="1" applyFont="1">
      <alignment horizontal="center" shrinkToFit="0" vertical="center" wrapText="1"/>
    </xf>
    <xf borderId="1" fillId="50" fontId="29" numFmtId="0" xfId="0" applyAlignment="1" applyBorder="1" applyFont="1">
      <alignment horizontal="center" shrinkToFit="0" vertical="center" wrapText="1"/>
    </xf>
    <xf borderId="0" fillId="52" fontId="29" numFmtId="0" xfId="0" applyAlignment="1" applyFill="1" applyFont="1">
      <alignment horizontal="center" shrinkToFit="0" vertical="center" wrapText="1"/>
    </xf>
    <xf borderId="12" fillId="52" fontId="29" numFmtId="0" xfId="0" applyAlignment="1" applyBorder="1" applyFont="1">
      <alignment horizontal="center" shrinkToFit="0" vertical="center" wrapText="1"/>
    </xf>
    <xf borderId="12" fillId="24" fontId="29" numFmtId="0" xfId="0" applyAlignment="1" applyBorder="1" applyFont="1">
      <alignment horizontal="center" readingOrder="0" shrinkToFit="0" vertical="center" wrapText="1"/>
    </xf>
    <xf borderId="0" fillId="52" fontId="29" numFmtId="0" xfId="0" applyAlignment="1" applyFont="1">
      <alignment horizontal="center" readingOrder="0" shrinkToFit="0" vertical="center" wrapText="1"/>
    </xf>
    <xf borderId="11" fillId="52" fontId="29" numFmtId="0" xfId="0" applyAlignment="1" applyBorder="1" applyFont="1">
      <alignment horizontal="center" shrinkToFit="0" vertical="center" wrapText="1"/>
    </xf>
    <xf borderId="1" fillId="52" fontId="29" numFmtId="0" xfId="0" applyAlignment="1" applyBorder="1" applyFont="1">
      <alignment horizontal="center" shrinkToFit="0" vertical="center" wrapText="1"/>
    </xf>
    <xf borderId="12" fillId="51" fontId="29" numFmtId="0" xfId="0" applyAlignment="1" applyBorder="1" applyFont="1">
      <alignment horizontal="center" readingOrder="0" shrinkToFit="0" vertical="center" wrapText="1"/>
    </xf>
    <xf borderId="11" fillId="51" fontId="29" numFmtId="0" xfId="0" applyAlignment="1" applyBorder="1" applyFont="1">
      <alignment horizontal="center" shrinkToFit="0" vertical="center" wrapText="1"/>
    </xf>
    <xf borderId="1" fillId="51" fontId="29" numFmtId="0" xfId="0" applyAlignment="1" applyBorder="1" applyFont="1">
      <alignment horizontal="center" readingOrder="0" shrinkToFit="0" vertical="center" wrapText="1"/>
    </xf>
    <xf borderId="12" fillId="52" fontId="29" numFmtId="0" xfId="0" applyAlignment="1" applyBorder="1" applyFont="1">
      <alignment horizontal="center" readingOrder="0" shrinkToFit="0" vertical="center" wrapText="1"/>
    </xf>
    <xf borderId="1" fillId="50" fontId="29" numFmtId="0" xfId="0" applyAlignment="1" applyBorder="1" applyFont="1">
      <alignment horizontal="center" readingOrder="0" shrinkToFit="0" vertical="center" wrapText="1"/>
    </xf>
    <xf borderId="0" fillId="52" fontId="29" numFmtId="0" xfId="0" applyAlignment="1" applyFont="1">
      <alignment horizontal="center" shrinkToFit="0" vertical="center" wrapText="1"/>
    </xf>
    <xf borderId="12" fillId="52" fontId="29" numFmtId="0" xfId="0" applyAlignment="1" applyBorder="1" applyFont="1">
      <alignment horizontal="center" shrinkToFit="0" vertical="center" wrapText="1"/>
    </xf>
    <xf borderId="1" fillId="24" fontId="29" numFmtId="0" xfId="0" applyAlignment="1" applyBorder="1" applyFont="1">
      <alignment horizontal="center" readingOrder="0" shrinkToFit="0" vertical="center" wrapText="1"/>
    </xf>
    <xf borderId="11" fillId="52" fontId="29" numFmtId="0" xfId="0" applyAlignment="1" applyBorder="1" applyFont="1">
      <alignment horizontal="center" readingOrder="0" shrinkToFit="0" vertical="center" wrapText="1"/>
    </xf>
    <xf borderId="1" fillId="52" fontId="29" numFmtId="0" xfId="0" applyAlignment="1" applyBorder="1" applyFont="1">
      <alignment horizontal="center" shrinkToFit="0" vertical="center" wrapText="1"/>
    </xf>
    <xf borderId="0" fillId="51" fontId="29" numFmtId="0" xfId="0" applyAlignment="1" applyFont="1">
      <alignment horizontal="center" shrinkToFit="0" vertical="center" wrapText="1"/>
    </xf>
    <xf borderId="12" fillId="51" fontId="29" numFmtId="0" xfId="0" applyAlignment="1" applyBorder="1" applyFont="1">
      <alignment horizontal="center" shrinkToFit="0" vertical="center" wrapText="1"/>
    </xf>
    <xf borderId="11" fillId="51" fontId="29" numFmtId="0" xfId="0" applyAlignment="1" applyBorder="1" applyFont="1">
      <alignment horizontal="center" shrinkToFit="0" vertical="center" wrapText="1"/>
    </xf>
    <xf borderId="1" fillId="51" fontId="29" numFmtId="0" xfId="0" applyAlignment="1" applyBorder="1" applyFont="1">
      <alignment horizontal="center" shrinkToFit="0" vertical="center" wrapText="1"/>
    </xf>
    <xf borderId="11" fillId="52" fontId="29" numFmtId="0" xfId="0" applyAlignment="1" applyBorder="1" applyFont="1">
      <alignment horizontal="center" shrinkToFit="0" vertical="center" wrapText="1"/>
    </xf>
    <xf borderId="1" fillId="52" fontId="29" numFmtId="0" xfId="0" applyAlignment="1" applyBorder="1" applyFont="1">
      <alignment horizontal="center" readingOrder="0" shrinkToFit="0" vertical="center" wrapText="1"/>
    </xf>
    <xf borderId="0" fillId="53" fontId="43" numFmtId="0" xfId="0" applyAlignment="1" applyFill="1" applyFont="1">
      <alignment horizontal="center" shrinkToFit="0" vertical="center" wrapText="1"/>
    </xf>
    <xf borderId="12" fillId="53" fontId="43" numFmtId="0" xfId="0" applyAlignment="1" applyBorder="1" applyFont="1">
      <alignment horizontal="center" shrinkToFit="0" vertical="center" wrapText="1"/>
    </xf>
    <xf borderId="0" fillId="54" fontId="6" numFmtId="0" xfId="0" applyAlignment="1" applyFill="1" applyFont="1">
      <alignment horizontal="center" shrinkToFit="0" vertical="center" wrapText="1"/>
    </xf>
    <xf borderId="0" fillId="53" fontId="43" numFmtId="0" xfId="0" applyAlignment="1" applyFont="1">
      <alignment horizontal="center" readingOrder="0" shrinkToFit="0" vertical="center" wrapText="1"/>
    </xf>
    <xf borderId="12" fillId="54" fontId="6" numFmtId="0" xfId="0" applyAlignment="1" applyBorder="1" applyFont="1">
      <alignment horizontal="center" shrinkToFit="0" vertical="center" wrapText="1"/>
    </xf>
    <xf borderId="11" fillId="53" fontId="43" numFmtId="0" xfId="0" applyAlignment="1" applyBorder="1" applyFont="1">
      <alignment horizontal="center" readingOrder="0" shrinkToFit="0" vertical="center" wrapText="1"/>
    </xf>
    <xf borderId="11" fillId="54" fontId="6" numFmtId="0" xfId="0" applyAlignment="1" applyBorder="1" applyFont="1">
      <alignment horizontal="center" shrinkToFit="0" vertical="center" wrapText="1"/>
    </xf>
    <xf borderId="1" fillId="53" fontId="43" numFmtId="0" xfId="0" applyAlignment="1" applyBorder="1" applyFont="1">
      <alignment horizontal="center" shrinkToFit="0" vertical="center" wrapText="1"/>
    </xf>
    <xf borderId="0" fillId="54" fontId="6" numFmtId="0" xfId="0" applyAlignment="1" applyFont="1">
      <alignment horizontal="center" readingOrder="0" shrinkToFit="0" vertical="center" wrapText="1"/>
    </xf>
    <xf borderId="1" fillId="54" fontId="6" numFmtId="0" xfId="0" applyAlignment="1" applyBorder="1" applyFont="1">
      <alignment horizontal="center" readingOrder="0" shrinkToFit="0" vertical="center" wrapText="1"/>
    </xf>
    <xf borderId="0" fillId="55" fontId="43" numFmtId="0" xfId="0" applyAlignment="1" applyFill="1" applyFont="1">
      <alignment horizontal="center" shrinkToFit="0" vertical="center" wrapText="1"/>
    </xf>
    <xf borderId="0" fillId="53" fontId="43" numFmtId="0" xfId="0" applyAlignment="1" applyFont="1">
      <alignment horizontal="center" readingOrder="0" shrinkToFit="0" wrapText="1"/>
    </xf>
    <xf borderId="12" fillId="55" fontId="43" numFmtId="0" xfId="0" applyAlignment="1" applyBorder="1" applyFont="1">
      <alignment horizontal="center" shrinkToFit="0" vertical="center" wrapText="1"/>
    </xf>
    <xf borderId="0" fillId="56" fontId="6" numFmtId="0" xfId="0" applyAlignment="1" applyFill="1" applyFont="1">
      <alignment horizontal="center" shrinkToFit="0" vertical="center" wrapText="1"/>
    </xf>
    <xf borderId="0" fillId="55" fontId="43" numFmtId="0" xfId="0" applyAlignment="1" applyFont="1">
      <alignment horizontal="center" readingOrder="0" shrinkToFit="0" vertical="center" wrapText="1"/>
    </xf>
    <xf borderId="0" fillId="7" fontId="43" numFmtId="0" xfId="0" applyAlignment="1" applyFont="1">
      <alignment horizontal="center" shrinkToFit="0" vertical="center" wrapText="1"/>
    </xf>
    <xf borderId="12" fillId="56" fontId="6" numFmtId="0" xfId="0" applyAlignment="1" applyBorder="1" applyFont="1">
      <alignment horizontal="center" shrinkToFit="0" vertical="center" wrapText="1"/>
    </xf>
    <xf borderId="12" fillId="7" fontId="43" numFmtId="0" xfId="0" applyAlignment="1" applyBorder="1" applyFont="1">
      <alignment horizontal="center" shrinkToFit="0" vertical="center" wrapText="1"/>
    </xf>
    <xf borderId="11" fillId="55" fontId="43" numFmtId="0" xfId="0" applyAlignment="1" applyBorder="1" applyFont="1">
      <alignment horizontal="center" readingOrder="0" shrinkToFit="0" vertical="center" wrapText="1"/>
    </xf>
    <xf borderId="0" fillId="56" fontId="6" numFmtId="0" xfId="0" applyAlignment="1" applyFont="1">
      <alignment horizontal="center" readingOrder="0" shrinkToFit="0" vertical="center" wrapText="1"/>
    </xf>
    <xf borderId="1" fillId="55" fontId="43" numFmtId="0" xfId="0" applyAlignment="1" applyBorder="1" applyFont="1">
      <alignment horizontal="center" shrinkToFit="0" vertical="center" wrapText="1"/>
    </xf>
    <xf borderId="11" fillId="56" fontId="6" numFmtId="0" xfId="0" applyAlignment="1" applyBorder="1" applyFont="1">
      <alignment horizontal="center" shrinkToFit="0" vertical="center" wrapText="1"/>
    </xf>
    <xf borderId="11" fillId="7" fontId="43" numFmtId="0" xfId="0" applyAlignment="1" applyBorder="1" applyFont="1">
      <alignment horizontal="center" shrinkToFit="0" vertical="center" wrapText="1"/>
    </xf>
    <xf borderId="0" fillId="55" fontId="43" numFmtId="0" xfId="0" applyAlignment="1" applyFont="1">
      <alignment horizontal="center" readingOrder="0" vertical="center"/>
    </xf>
    <xf borderId="1" fillId="56" fontId="6" numFmtId="0" xfId="0" applyAlignment="1" applyBorder="1" applyFont="1">
      <alignment horizontal="center" readingOrder="0" shrinkToFit="0" vertical="center" wrapText="1"/>
    </xf>
    <xf borderId="1" fillId="7" fontId="43" numFmtId="0" xfId="0" applyAlignment="1" applyBorder="1" applyFont="1">
      <alignment horizontal="center" shrinkToFit="0" vertical="center" wrapText="1"/>
    </xf>
    <xf borderId="0" fillId="57" fontId="43" numFmtId="0" xfId="0" applyAlignment="1" applyFill="1" applyFont="1">
      <alignment horizontal="center" shrinkToFit="0" vertical="center" wrapText="1"/>
    </xf>
    <xf borderId="12" fillId="57" fontId="43" numFmtId="0" xfId="0" applyAlignment="1" applyBorder="1" applyFont="1">
      <alignment horizontal="center" shrinkToFit="0" vertical="center" wrapText="1"/>
    </xf>
    <xf borderId="0" fillId="7" fontId="43" numFmtId="0" xfId="0" applyAlignment="1" applyFont="1">
      <alignment horizontal="center" readingOrder="0" shrinkToFit="0" wrapText="1"/>
    </xf>
    <xf borderId="0" fillId="58" fontId="29" numFmtId="0" xfId="0" applyAlignment="1" applyFill="1" applyFont="1">
      <alignment horizontal="center" shrinkToFit="0" vertical="center" wrapText="1"/>
    </xf>
    <xf borderId="0" fillId="57" fontId="43" numFmtId="0" xfId="0" applyAlignment="1" applyFont="1">
      <alignment horizontal="center" readingOrder="0" shrinkToFit="0" vertical="center" wrapText="1"/>
    </xf>
    <xf borderId="12" fillId="58" fontId="29" numFmtId="0" xfId="0" applyAlignment="1" applyBorder="1" applyFont="1">
      <alignment horizontal="center" shrinkToFit="0" vertical="center" wrapText="1"/>
    </xf>
    <xf borderId="11" fillId="57" fontId="43" numFmtId="0" xfId="0" applyAlignment="1" applyBorder="1" applyFont="1">
      <alignment horizontal="center" readingOrder="0" shrinkToFit="0" vertical="center" wrapText="1"/>
    </xf>
    <xf borderId="11" fillId="53" fontId="43" numFmtId="0" xfId="0" applyAlignment="1" applyBorder="1" applyFont="1">
      <alignment horizontal="center" shrinkToFit="0" vertical="center" wrapText="1"/>
    </xf>
    <xf borderId="0" fillId="58" fontId="29" numFmtId="0" xfId="0" applyAlignment="1" applyFont="1">
      <alignment horizontal="center" readingOrder="0" shrinkToFit="0" vertical="center" wrapText="1"/>
    </xf>
    <xf borderId="12" fillId="54" fontId="6" numFmtId="0" xfId="0" applyAlignment="1" applyBorder="1" applyFont="1">
      <alignment horizontal="center" readingOrder="0" shrinkToFit="0" vertical="center" wrapText="1"/>
    </xf>
    <xf borderId="1" fillId="57" fontId="43" numFmtId="0" xfId="0" applyAlignment="1" applyBorder="1" applyFont="1">
      <alignment horizontal="center" readingOrder="0" shrinkToFit="0" vertical="center" wrapText="1"/>
    </xf>
    <xf borderId="0" fillId="7" fontId="43" numFmtId="0" xfId="0" applyAlignment="1" applyFont="1">
      <alignment horizontal="center" shrinkToFit="0" vertical="center" wrapText="1"/>
    </xf>
    <xf borderId="11" fillId="58" fontId="29" numFmtId="0" xfId="0" applyAlignment="1" applyBorder="1" applyFont="1">
      <alignment horizontal="center" shrinkToFit="0" vertical="center" wrapText="1"/>
    </xf>
    <xf borderId="0" fillId="55" fontId="43" numFmtId="0" xfId="0" applyAlignment="1" applyFont="1">
      <alignment horizontal="center" shrinkToFit="0" vertical="center" wrapText="1"/>
    </xf>
    <xf borderId="1" fillId="58" fontId="29" numFmtId="0" xfId="0" applyAlignment="1" applyBorder="1" applyFont="1">
      <alignment horizontal="center" shrinkToFit="0" vertical="center" wrapText="1"/>
    </xf>
    <xf borderId="12" fillId="55" fontId="43" numFmtId="0" xfId="0" applyAlignment="1" applyBorder="1" applyFont="1">
      <alignment horizontal="center" shrinkToFit="0" vertical="center" wrapText="1"/>
    </xf>
    <xf borderId="0" fillId="7" fontId="43" numFmtId="0" xfId="0" applyAlignment="1" applyFont="1">
      <alignment horizontal="center" readingOrder="0" shrinkToFit="0" vertical="center" wrapText="1"/>
    </xf>
    <xf borderId="0" fillId="59" fontId="29" numFmtId="0" xfId="0" applyAlignment="1" applyFill="1" applyFont="1">
      <alignment horizontal="center" shrinkToFit="0" vertical="center" wrapText="1"/>
    </xf>
    <xf borderId="12" fillId="59" fontId="29" numFmtId="0" xfId="0" applyAlignment="1" applyBorder="1" applyFont="1">
      <alignment horizontal="center" readingOrder="0" shrinkToFit="0" vertical="center" wrapText="1"/>
    </xf>
    <xf borderId="1" fillId="7" fontId="43" numFmtId="0" xfId="0" applyAlignment="1" applyBorder="1" applyFont="1">
      <alignment horizontal="center" readingOrder="0" shrinkToFit="0" vertical="center" wrapText="1"/>
    </xf>
    <xf borderId="1" fillId="56" fontId="6" numFmtId="0" xfId="0" applyAlignment="1" applyBorder="1" applyFont="1">
      <alignment horizontal="center" shrinkToFit="0" vertical="center" wrapText="1"/>
    </xf>
    <xf borderId="12" fillId="59" fontId="29" numFmtId="0" xfId="0" applyAlignment="1" applyBorder="1" applyFont="1">
      <alignment horizontal="center" shrinkToFit="0" vertical="center" wrapText="1"/>
    </xf>
    <xf borderId="12" fillId="53" fontId="43" numFmtId="0" xfId="0" applyAlignment="1" applyBorder="1" applyFont="1">
      <alignment horizontal="center" readingOrder="0" shrinkToFit="0" vertical="center" wrapText="1"/>
    </xf>
    <xf borderId="0" fillId="59" fontId="29" numFmtId="0" xfId="0" applyAlignment="1" applyFont="1">
      <alignment horizontal="center" readingOrder="0" shrinkToFit="0" vertical="center" wrapText="1"/>
    </xf>
    <xf borderId="1" fillId="55" fontId="43" numFmtId="0" xfId="0" applyAlignment="1" applyBorder="1" applyFont="1">
      <alignment horizontal="center" readingOrder="0" shrinkToFit="0" vertical="center" wrapText="1"/>
    </xf>
    <xf borderId="12" fillId="54" fontId="6" numFmtId="0" xfId="0" applyAlignment="1" applyBorder="1" applyFont="1">
      <alignment horizontal="center" shrinkToFit="0" vertical="center" wrapText="1"/>
    </xf>
    <xf borderId="11" fillId="59" fontId="29" numFmtId="0" xfId="0" applyAlignment="1" applyBorder="1" applyFont="1">
      <alignment horizontal="center" shrinkToFit="0" vertical="center" wrapText="1"/>
    </xf>
    <xf borderId="0" fillId="54" fontId="6" numFmtId="0" xfId="0" applyAlignment="1" applyFont="1">
      <alignment horizontal="center" shrinkToFit="0" vertical="center" wrapText="1"/>
    </xf>
    <xf borderId="0" fillId="57" fontId="43" numFmtId="0" xfId="0" applyAlignment="1" applyFont="1">
      <alignment horizontal="center" shrinkToFit="0" vertical="center" wrapText="1"/>
    </xf>
    <xf borderId="11" fillId="54" fontId="6" numFmtId="0" xfId="0" applyAlignment="1" applyBorder="1" applyFont="1">
      <alignment horizontal="center" shrinkToFit="0" vertical="center" wrapText="1"/>
    </xf>
    <xf borderId="1" fillId="59" fontId="29" numFmtId="0" xfId="0" applyAlignment="1" applyBorder="1" applyFont="1">
      <alignment horizontal="center" shrinkToFit="0" vertical="center" wrapText="1"/>
    </xf>
    <xf borderId="12" fillId="7" fontId="43" numFmtId="0" xfId="0" applyAlignment="1" applyBorder="1" applyFont="1">
      <alignment horizontal="center" shrinkToFit="0" vertical="center" wrapText="1"/>
    </xf>
    <xf borderId="0" fillId="59" fontId="0" numFmtId="0" xfId="0" applyAlignment="1" applyFont="1">
      <alignment horizontal="center" readingOrder="0" shrinkToFit="0" vertical="center" wrapText="1"/>
    </xf>
    <xf borderId="0" fillId="56" fontId="6" numFmtId="0" xfId="0" applyAlignment="1" applyFont="1">
      <alignment horizontal="center" shrinkToFit="0" vertical="center" wrapText="1"/>
    </xf>
    <xf borderId="12" fillId="56" fontId="6" numFmtId="0" xfId="0" applyAlignment="1" applyBorder="1" applyFont="1">
      <alignment horizontal="center" shrinkToFit="0" vertical="center" wrapText="1"/>
    </xf>
    <xf borderId="11" fillId="7" fontId="43" numFmtId="0" xfId="0" applyAlignment="1" applyBorder="1" applyFont="1">
      <alignment horizontal="center" shrinkToFit="0" vertical="center" wrapText="1"/>
    </xf>
    <xf borderId="11" fillId="56" fontId="6" numFmtId="0" xfId="0" applyAlignment="1" applyBorder="1" applyFont="1">
      <alignment horizontal="center" shrinkToFit="0" vertical="center" wrapText="1"/>
    </xf>
    <xf borderId="1" fillId="7" fontId="43" numFmtId="0" xfId="0" applyAlignment="1" applyBorder="1" applyFont="1">
      <alignment horizontal="center" shrinkToFit="0" vertical="center" wrapText="1"/>
    </xf>
    <xf borderId="11" fillId="55" fontId="43" numFmtId="0" xfId="0" applyAlignment="1" applyBorder="1" applyFont="1">
      <alignment horizontal="center" shrinkToFit="0" vertical="center" wrapText="1"/>
    </xf>
    <xf borderId="0" fillId="58" fontId="29" numFmtId="0" xfId="0" applyAlignment="1" applyFont="1">
      <alignment horizontal="center" shrinkToFit="0" vertical="center" wrapText="1"/>
    </xf>
    <xf borderId="12" fillId="58" fontId="29" numFmtId="0" xfId="0" applyAlignment="1" applyBorder="1" applyFont="1">
      <alignment horizontal="center" shrinkToFit="0" vertical="center" wrapText="1"/>
    </xf>
    <xf borderId="12" fillId="57" fontId="43" numFmtId="0" xfId="0" applyAlignment="1" applyBorder="1" applyFont="1">
      <alignment horizontal="center" shrinkToFit="0" vertical="center" wrapText="1"/>
    </xf>
    <xf borderId="12" fillId="7" fontId="43" numFmtId="0" xfId="0" applyAlignment="1" applyBorder="1" applyFont="1">
      <alignment horizontal="center" readingOrder="0" shrinkToFit="0" vertical="center" wrapText="1"/>
    </xf>
    <xf borderId="12" fillId="58" fontId="29" numFmtId="0" xfId="0" applyAlignment="1" applyBorder="1" applyFont="1">
      <alignment horizontal="center" readingOrder="0" shrinkToFit="0" vertical="center" wrapText="1"/>
    </xf>
    <xf borderId="11" fillId="58" fontId="29" numFmtId="0" xfId="0" applyAlignment="1" applyBorder="1" applyFont="1">
      <alignment horizontal="center" shrinkToFit="0" vertical="center" wrapText="1"/>
    </xf>
    <xf borderId="11" fillId="7" fontId="43" numFmtId="0" xfId="0" applyAlignment="1" applyBorder="1" applyFont="1">
      <alignment horizontal="center" readingOrder="0" shrinkToFit="0" vertical="center" wrapText="1"/>
    </xf>
    <xf borderId="1" fillId="58" fontId="29" numFmtId="0" xfId="0" applyAlignment="1" applyBorder="1" applyFont="1">
      <alignment horizontal="center" readingOrder="0" shrinkToFit="0" vertical="center" wrapText="1"/>
    </xf>
    <xf borderId="0" fillId="55" fontId="43" numFmtId="0" xfId="0" applyAlignment="1" applyFont="1">
      <alignment horizontal="center" vertical="center"/>
    </xf>
    <xf borderId="0" fillId="59" fontId="29" numFmtId="0" xfId="0" applyAlignment="1" applyFont="1">
      <alignment horizontal="center" shrinkToFit="0" vertical="center" wrapText="1"/>
    </xf>
    <xf borderId="1" fillId="55" fontId="43" numFmtId="0" xfId="0" applyAlignment="1" applyBorder="1" applyFont="1">
      <alignment horizontal="center" shrinkToFit="0" vertical="center" wrapText="1"/>
    </xf>
    <xf borderId="12" fillId="59" fontId="29" numFmtId="0" xfId="0" applyAlignment="1" applyBorder="1" applyFont="1">
      <alignment horizontal="center" shrinkToFit="0" vertical="center" wrapText="1"/>
    </xf>
    <xf borderId="0" fillId="60" fontId="43" numFmtId="0" xfId="0" applyAlignment="1" applyFill="1" applyFont="1">
      <alignment horizontal="center" readingOrder="0" shrinkToFit="0" vertical="center" wrapText="1"/>
    </xf>
    <xf borderId="11" fillId="59" fontId="29" numFmtId="0" xfId="0" applyAlignment="1" applyBorder="1" applyFont="1">
      <alignment horizontal="center" shrinkToFit="0" vertical="center" wrapText="1"/>
    </xf>
    <xf borderId="12" fillId="60" fontId="43" numFmtId="0" xfId="0" applyAlignment="1" applyBorder="1" applyFont="1">
      <alignment horizontal="center" readingOrder="0" shrinkToFit="0" vertical="center" wrapText="1"/>
    </xf>
    <xf borderId="11" fillId="57" fontId="43" numFmtId="0" xfId="0" applyAlignment="1" applyBorder="1" applyFont="1">
      <alignment horizontal="center" shrinkToFit="0" vertical="center" wrapText="1"/>
    </xf>
    <xf borderId="1" fillId="59" fontId="29" numFmtId="0" xfId="0" applyAlignment="1" applyBorder="1" applyFont="1">
      <alignment horizontal="center" shrinkToFit="0" vertical="center" wrapText="1"/>
    </xf>
    <xf borderId="1" fillId="57" fontId="43" numFmtId="0" xfId="0" applyAlignment="1" applyBorder="1" applyFont="1">
      <alignment horizontal="center" shrinkToFit="0" vertical="center" wrapText="1"/>
    </xf>
    <xf borderId="11" fillId="60" fontId="43" numFmtId="0" xfId="0" applyAlignment="1" applyBorder="1" applyFont="1">
      <alignment horizontal="center" readingOrder="0" shrinkToFit="0" vertical="center" wrapText="1"/>
    </xf>
    <xf borderId="1" fillId="60" fontId="43" numFmtId="0" xfId="0" applyAlignment="1" applyBorder="1" applyFont="1">
      <alignment horizontal="center" readingOrder="0" shrinkToFit="0" vertical="center" wrapText="1"/>
    </xf>
    <xf borderId="11" fillId="58" fontId="29" numFmtId="0" xfId="0" applyAlignment="1" applyBorder="1" applyFont="1">
      <alignment horizontal="center" readingOrder="0" shrinkToFit="0" vertical="center" wrapText="1"/>
    </xf>
    <xf borderId="0" fillId="61" fontId="43" numFmtId="0" xfId="0" applyAlignment="1" applyFill="1" applyFont="1">
      <alignment horizontal="center" readingOrder="0" shrinkToFit="0" vertical="center" wrapText="1"/>
    </xf>
    <xf borderId="12" fillId="61" fontId="43" numFmtId="0" xfId="0" applyAlignment="1" applyBorder="1" applyFont="1">
      <alignment horizontal="center" readingOrder="0" shrinkToFit="0" vertical="center" wrapText="1"/>
    </xf>
    <xf borderId="1" fillId="58" fontId="29" numFmtId="0" xfId="0" applyAlignment="1" applyBorder="1" applyFont="1">
      <alignment horizontal="center" shrinkToFit="0" vertical="center" wrapText="1"/>
    </xf>
    <xf borderId="11" fillId="61" fontId="43" numFmtId="0" xfId="0" applyAlignment="1" applyBorder="1" applyFont="1">
      <alignment horizontal="center" readingOrder="0" shrinkToFit="0" vertical="center" wrapText="1"/>
    </xf>
    <xf borderId="1" fillId="61" fontId="43" numFmtId="0" xfId="0" applyAlignment="1" applyBorder="1" applyFont="1">
      <alignment horizontal="center" readingOrder="0" shrinkToFit="0" vertical="center" wrapText="1"/>
    </xf>
    <xf borderId="0" fillId="61" fontId="43" numFmtId="0" xfId="0" applyAlignment="1" applyFont="1">
      <alignment horizontal="center" readingOrder="0" shrinkToFit="0" vertical="center" wrapText="1"/>
    </xf>
    <xf borderId="0" fillId="62" fontId="43" numFmtId="0" xfId="0" applyAlignment="1" applyFill="1" applyFont="1">
      <alignment horizontal="center" shrinkToFit="0" vertical="center" wrapText="1"/>
    </xf>
    <xf borderId="12" fillId="62" fontId="43" numFmtId="0" xfId="0" applyAlignment="1" applyBorder="1" applyFont="1">
      <alignment horizontal="center" shrinkToFit="0" vertical="center" wrapText="1"/>
    </xf>
    <xf borderId="11" fillId="62" fontId="43" numFmtId="0" xfId="0" applyAlignment="1" applyBorder="1" applyFont="1">
      <alignment horizontal="center" shrinkToFit="0" vertical="center" wrapText="1"/>
    </xf>
    <xf borderId="1" fillId="62" fontId="43" numFmtId="0" xfId="0" applyAlignment="1" applyBorder="1" applyFont="1">
      <alignment horizontal="center" shrinkToFit="0" vertical="center" wrapText="1"/>
    </xf>
    <xf borderId="0" fillId="62" fontId="43" numFmtId="0" xfId="0" applyAlignment="1" applyFont="1">
      <alignment horizontal="center" readingOrder="0" shrinkToFit="0" vertical="center" wrapText="1"/>
    </xf>
    <xf borderId="0" fillId="63" fontId="43" numFmtId="0" xfId="0" applyAlignment="1" applyFill="1" applyFont="1">
      <alignment horizontal="center" shrinkToFit="0" vertical="center" wrapText="1"/>
    </xf>
    <xf borderId="0" fillId="64" fontId="29" numFmtId="0" xfId="0" applyAlignment="1" applyFill="1" applyFont="1">
      <alignment horizontal="center" shrinkToFit="0" vertical="center" wrapText="1"/>
    </xf>
    <xf borderId="12" fillId="63" fontId="43" numFmtId="0" xfId="0" applyAlignment="1" applyBorder="1" applyFont="1">
      <alignment horizontal="center" shrinkToFit="0" vertical="center" wrapText="1"/>
    </xf>
    <xf borderId="12" fillId="64" fontId="29" numFmtId="0" xfId="0" applyAlignment="1" applyBorder="1" applyFont="1">
      <alignment horizontal="center" shrinkToFit="0" vertical="center" wrapText="1"/>
    </xf>
    <xf borderId="11" fillId="63" fontId="43" numFmtId="0" xfId="0" applyAlignment="1" applyBorder="1" applyFont="1">
      <alignment horizontal="center" shrinkToFit="0" vertical="center" wrapText="1"/>
    </xf>
    <xf borderId="0" fillId="64" fontId="29" numFmtId="0" xfId="0" applyAlignment="1" applyFont="1">
      <alignment horizontal="center" readingOrder="0" shrinkToFit="0" vertical="center" wrapText="1"/>
    </xf>
    <xf borderId="1" fillId="63" fontId="43" numFmtId="0" xfId="0" applyAlignment="1" applyBorder="1" applyFont="1">
      <alignment horizontal="center" readingOrder="0" shrinkToFit="0" vertical="center" wrapText="1"/>
    </xf>
    <xf borderId="11" fillId="64" fontId="29" numFmtId="0" xfId="0" applyAlignment="1" applyBorder="1" applyFont="1">
      <alignment horizontal="center" shrinkToFit="0" vertical="center" wrapText="1"/>
    </xf>
    <xf borderId="0" fillId="65" fontId="43" numFmtId="0" xfId="0" applyAlignment="1" applyFill="1" applyFont="1">
      <alignment horizontal="center" shrinkToFit="0" vertical="center" wrapText="1"/>
    </xf>
    <xf borderId="1" fillId="64" fontId="29" numFmtId="0" xfId="0" applyAlignment="1" applyBorder="1" applyFont="1">
      <alignment horizontal="center" shrinkToFit="0" vertical="center" wrapText="1"/>
    </xf>
    <xf borderId="12" fillId="65" fontId="43" numFmtId="0" xfId="0" applyAlignment="1" applyBorder="1" applyFont="1">
      <alignment horizontal="center" shrinkToFit="0" vertical="center" wrapText="1"/>
    </xf>
    <xf borderId="0" fillId="66" fontId="29" numFmtId="0" xfId="0" applyAlignment="1" applyFill="1" applyFont="1">
      <alignment horizontal="center" shrinkToFit="0" vertical="center" wrapText="1"/>
    </xf>
    <xf borderId="0" fillId="65" fontId="43" numFmtId="0" xfId="0" applyAlignment="1" applyFont="1">
      <alignment horizontal="center" shrinkToFit="0" vertical="center" wrapText="1"/>
    </xf>
    <xf borderId="12" fillId="66" fontId="29" numFmtId="0" xfId="0" applyAlignment="1" applyBorder="1" applyFont="1">
      <alignment horizontal="center" shrinkToFit="0" vertical="center" wrapText="1"/>
    </xf>
    <xf borderId="0" fillId="66" fontId="29" numFmtId="0" xfId="0" applyAlignment="1" applyFont="1">
      <alignment horizontal="center" readingOrder="0" shrinkToFit="0" vertical="center" wrapText="1"/>
    </xf>
    <xf borderId="1" fillId="63" fontId="43" numFmtId="0" xfId="0" applyAlignment="1" applyBorder="1" applyFont="1">
      <alignment horizontal="center" shrinkToFit="0" vertical="center" wrapText="1"/>
    </xf>
    <xf borderId="11" fillId="65" fontId="43" numFmtId="0" xfId="0" applyAlignment="1" applyBorder="1" applyFont="1">
      <alignment horizontal="center" shrinkToFit="0" vertical="center" wrapText="1"/>
    </xf>
    <xf borderId="16" fillId="11" fontId="42" numFmtId="0" xfId="0" applyAlignment="1" applyBorder="1" applyFont="1">
      <alignment horizontal="center" readingOrder="0" shrinkToFit="0" vertical="center" wrapText="1"/>
    </xf>
    <xf borderId="1" fillId="65" fontId="43" numFmtId="0" xfId="0" applyAlignment="1" applyBorder="1" applyFont="1">
      <alignment horizontal="center" shrinkToFit="0" vertical="center" wrapText="1"/>
    </xf>
    <xf borderId="12" fillId="66" fontId="29" numFmtId="0" xfId="0" applyAlignment="1" applyBorder="1" applyFont="1">
      <alignment horizontal="center" readingOrder="0" shrinkToFit="0" vertical="center" wrapText="1"/>
    </xf>
    <xf borderId="0" fillId="65" fontId="43" numFmtId="0" xfId="0" applyAlignment="1" applyFont="1">
      <alignment horizontal="center" readingOrder="0" shrinkToFit="0" vertical="center" wrapText="1"/>
    </xf>
    <xf borderId="0" fillId="63" fontId="43" numFmtId="0" xfId="0" applyAlignment="1" applyFont="1">
      <alignment horizontal="center" readingOrder="0" shrinkToFit="0" vertical="center" wrapText="1"/>
    </xf>
    <xf borderId="0" fillId="67" fontId="43" numFmtId="0" xfId="0" applyAlignment="1" applyFill="1" applyFont="1">
      <alignment horizontal="center" shrinkToFit="0" vertical="center" wrapText="1"/>
    </xf>
    <xf borderId="11" fillId="66" fontId="29" numFmtId="0" xfId="0" applyAlignment="1" applyBorder="1" applyFont="1">
      <alignment horizontal="center" shrinkToFit="0" vertical="center" wrapText="1"/>
    </xf>
    <xf borderId="12" fillId="67" fontId="43" numFmtId="0" xfId="0" applyAlignment="1" applyBorder="1" applyFont="1">
      <alignment horizontal="center" shrinkToFit="0" vertical="center" wrapText="1"/>
    </xf>
    <xf borderId="1" fillId="66" fontId="29" numFmtId="0" xfId="0" applyAlignment="1" applyBorder="1" applyFont="1">
      <alignment horizontal="center" shrinkToFit="0" vertical="center" wrapText="1"/>
    </xf>
    <xf borderId="0" fillId="68" fontId="43" numFmtId="0" xfId="0" applyAlignment="1" applyFill="1" applyFont="1">
      <alignment horizontal="center" shrinkToFit="0" vertical="center" wrapText="1"/>
    </xf>
    <xf borderId="1" fillId="62" fontId="43" numFmtId="0" xfId="0" applyAlignment="1" applyBorder="1" applyFont="1">
      <alignment horizontal="center" readingOrder="0" shrinkToFit="0" vertical="center" wrapText="1"/>
    </xf>
    <xf borderId="12" fillId="68" fontId="43" numFmtId="0" xfId="0" applyAlignment="1" applyBorder="1" applyFont="1">
      <alignment horizontal="center" shrinkToFit="0" vertical="center" wrapText="1"/>
    </xf>
    <xf borderId="11" fillId="67" fontId="43" numFmtId="0" xfId="0" applyAlignment="1" applyBorder="1" applyFont="1">
      <alignment horizontal="center" shrinkToFit="0" vertical="center" wrapText="1"/>
    </xf>
    <xf borderId="12" fillId="64" fontId="29" numFmtId="0" xfId="0" applyAlignment="1" applyBorder="1" applyFont="1">
      <alignment horizontal="center" readingOrder="0" shrinkToFit="0" vertical="center" wrapText="1"/>
    </xf>
    <xf borderId="11" fillId="68" fontId="43" numFmtId="0" xfId="0" applyAlignment="1" applyBorder="1" applyFont="1">
      <alignment horizontal="center" shrinkToFit="0" vertical="center" wrapText="1"/>
    </xf>
    <xf borderId="1" fillId="68" fontId="43" numFmtId="0" xfId="0" applyAlignment="1" applyBorder="1" applyFont="1">
      <alignment horizontal="center" shrinkToFit="0" vertical="center" wrapText="1"/>
    </xf>
    <xf borderId="1" fillId="67" fontId="43" numFmtId="0" xfId="0" applyAlignment="1" applyBorder="1" applyFont="1">
      <alignment horizontal="center" readingOrder="0" shrinkToFit="0" vertical="center" wrapText="1"/>
    </xf>
    <xf borderId="0" fillId="68" fontId="43" numFmtId="0" xfId="0" applyAlignment="1" applyFont="1">
      <alignment horizontal="center" readingOrder="0" shrinkToFit="0" vertical="center" wrapText="1"/>
    </xf>
    <xf borderId="12" fillId="65" fontId="43" numFmtId="0" xfId="0" applyAlignment="1" applyBorder="1" applyFont="1">
      <alignment horizontal="center" shrinkToFit="0" vertical="center" wrapText="1"/>
    </xf>
    <xf borderId="0" fillId="69" fontId="43" numFmtId="0" xfId="0" applyAlignment="1" applyFill="1" applyFont="1">
      <alignment horizontal="center" shrinkToFit="0" vertical="center" wrapText="1"/>
    </xf>
    <xf borderId="12" fillId="69" fontId="43" numFmtId="0" xfId="0" applyAlignment="1" applyBorder="1" applyFont="1">
      <alignment horizontal="center" readingOrder="0" shrinkToFit="0" vertical="center" wrapText="1"/>
    </xf>
    <xf borderId="0" fillId="69" fontId="43" numFmtId="0" xfId="0" applyAlignment="1" applyFont="1">
      <alignment horizontal="center" readingOrder="0" shrinkToFit="0" vertical="center" wrapText="1"/>
    </xf>
    <xf borderId="1" fillId="65" fontId="43" numFmtId="0" xfId="0" applyAlignment="1" applyBorder="1" applyFont="1">
      <alignment horizontal="center" shrinkToFit="0" vertical="center" wrapText="1"/>
    </xf>
    <xf borderId="12" fillId="69" fontId="43" numFmtId="0" xfId="0" applyAlignment="1" applyBorder="1" applyFont="1">
      <alignment horizontal="center" shrinkToFit="0" vertical="center" wrapText="1"/>
    </xf>
    <xf borderId="11" fillId="69" fontId="43" numFmtId="0" xfId="0" applyAlignment="1" applyBorder="1" applyFont="1">
      <alignment horizontal="center" shrinkToFit="0" vertical="center" wrapText="1"/>
    </xf>
    <xf borderId="1" fillId="69" fontId="43" numFmtId="0" xfId="0" applyAlignment="1" applyBorder="1" applyFont="1">
      <alignment horizontal="center" shrinkToFit="0" vertical="center" wrapText="1"/>
    </xf>
    <xf borderId="1" fillId="67" fontId="43" numFmtId="0" xfId="0" applyAlignment="1" applyBorder="1" applyFont="1">
      <alignment horizontal="center" shrinkToFit="0" vertical="center" wrapText="1"/>
    </xf>
    <xf borderId="12" fillId="68" fontId="43" numFmtId="0" xfId="0" applyAlignment="1" applyBorder="1" applyFont="1">
      <alignment horizontal="center" readingOrder="0" shrinkToFit="0" vertical="center" wrapText="1"/>
    </xf>
    <xf borderId="0" fillId="67" fontId="43" numFmtId="0" xfId="0" applyAlignment="1" applyFont="1">
      <alignment horizontal="center" readingOrder="0" shrinkToFit="0" vertical="center" wrapText="1"/>
    </xf>
    <xf borderId="12" fillId="65" fontId="43" numFmtId="0" xfId="0" applyAlignment="1" applyBorder="1" applyFont="1">
      <alignment horizontal="center" readingOrder="0" shrinkToFit="0" vertical="center" wrapText="1"/>
    </xf>
    <xf borderId="12" fillId="63" fontId="43" numFmtId="0" xfId="0" applyAlignment="1" applyBorder="1" applyFont="1">
      <alignment horizontal="center" readingOrder="0" shrinkToFit="0" vertical="center" wrapText="1"/>
    </xf>
    <xf borderId="11" fillId="65" fontId="43" numFmtId="0" xfId="0" applyAlignment="1" applyBorder="1" applyFont="1">
      <alignment horizontal="center" shrinkToFit="0" vertical="center" wrapText="1"/>
    </xf>
    <xf borderId="1" fillId="64" fontId="29" numFmtId="0" xfId="0" applyAlignment="1" applyBorder="1" applyFont="1">
      <alignment horizontal="center" readingOrder="0" shrinkToFit="0" vertical="center" wrapText="1"/>
    </xf>
    <xf borderId="12" fillId="67" fontId="43" numFmtId="0" xfId="0" applyAlignment="1" applyBorder="1" applyFont="1">
      <alignment horizontal="center" readingOrder="0" shrinkToFit="0" vertical="center" wrapText="1"/>
    </xf>
    <xf borderId="0" fillId="67" fontId="43" numFmtId="0" xfId="0" applyAlignment="1" applyFont="1">
      <alignment horizontal="center" shrinkToFit="0" vertical="center" wrapText="1"/>
    </xf>
    <xf borderId="11" fillId="66" fontId="29" numFmtId="0" xfId="0" applyAlignment="1" applyBorder="1" applyFont="1">
      <alignment horizontal="center" readingOrder="0" shrinkToFit="0" vertical="center" wrapText="1"/>
    </xf>
    <xf borderId="1" fillId="69" fontId="43" numFmtId="0" xfId="0" applyAlignment="1" applyBorder="1" applyFont="1">
      <alignment horizontal="center" readingOrder="0" shrinkToFit="0" vertical="center" wrapText="1"/>
    </xf>
    <xf borderId="11" fillId="67" fontId="43" numFmtId="0" xfId="0" applyAlignment="1" applyBorder="1" applyFont="1">
      <alignment horizontal="center" shrinkToFit="0" vertical="center" wrapText="1"/>
    </xf>
    <xf borderId="0" fillId="8" fontId="29" numFmtId="0" xfId="0" applyAlignment="1" applyFont="1">
      <alignment horizontal="center" shrinkToFit="0" vertical="center" wrapText="1"/>
    </xf>
    <xf borderId="0" fillId="67" fontId="44" numFmtId="0" xfId="0" applyAlignment="1" applyFont="1">
      <alignment horizontal="center" readingOrder="0" shrinkToFit="0" vertical="center" wrapText="1"/>
    </xf>
    <xf borderId="12" fillId="8" fontId="29" numFmtId="0" xfId="0" applyAlignment="1" applyBorder="1" applyFont="1">
      <alignment horizontal="center" shrinkToFit="0" vertical="center" wrapText="1"/>
    </xf>
    <xf borderId="0" fillId="8" fontId="29" numFmtId="0" xfId="0" applyAlignment="1" applyFont="1">
      <alignment horizontal="center" readingOrder="0" shrinkToFit="0" vertical="center" wrapText="1"/>
    </xf>
    <xf borderId="11" fillId="8" fontId="29" numFmtId="0" xfId="0" applyAlignment="1" applyBorder="1" applyFont="1">
      <alignment horizontal="center" shrinkToFit="0" vertical="center" wrapText="1"/>
    </xf>
    <xf borderId="1" fillId="8" fontId="29" numFmtId="0" xfId="0" applyAlignment="1" applyBorder="1" applyFont="1">
      <alignment horizontal="center" shrinkToFit="0" vertical="center" wrapText="1"/>
    </xf>
    <xf borderId="0" fillId="8" fontId="29" numFmtId="0" xfId="0" applyAlignment="1" applyFont="1">
      <alignment horizontal="center" shrinkToFit="0" vertical="center" wrapText="1"/>
    </xf>
    <xf borderId="1" fillId="66" fontId="29" numFmtId="0" xfId="0" applyAlignment="1" applyBorder="1" applyFont="1">
      <alignment horizontal="center" readingOrder="0" shrinkToFit="0" vertical="center" wrapText="1"/>
    </xf>
    <xf borderId="0" fillId="10" fontId="29" numFmtId="0" xfId="0" applyAlignment="1" applyFont="1">
      <alignment horizontal="center" shrinkToFit="0" vertical="center" wrapText="1"/>
    </xf>
    <xf borderId="12" fillId="10" fontId="29" numFmtId="0" xfId="0" applyAlignment="1" applyBorder="1" applyFont="1">
      <alignment horizontal="center" shrinkToFit="0" vertical="center" wrapText="1"/>
    </xf>
    <xf borderId="11" fillId="67" fontId="43" numFmtId="0" xfId="0" applyAlignment="1" applyBorder="1" applyFont="1">
      <alignment horizontal="center" readingOrder="0" shrinkToFit="0" vertical="center" wrapText="1"/>
    </xf>
    <xf borderId="0" fillId="10" fontId="29" numFmtId="0" xfId="0" applyAlignment="1" applyFont="1">
      <alignment horizontal="center" readingOrder="0" shrinkToFit="0" vertical="center" wrapText="1"/>
    </xf>
    <xf borderId="1" fillId="68" fontId="43" numFmtId="0" xfId="0" applyAlignment="1" applyBorder="1" applyFont="1">
      <alignment horizontal="center" readingOrder="0" shrinkToFit="0" vertical="center" wrapText="1"/>
    </xf>
    <xf borderId="0" fillId="10" fontId="29" numFmtId="0" xfId="0" applyAlignment="1" applyFont="1">
      <alignment horizontal="center" shrinkToFit="0" vertical="center" wrapText="1"/>
    </xf>
    <xf borderId="3" fillId="66" fontId="29" numFmtId="0" xfId="0" applyAlignment="1" applyBorder="1" applyFont="1">
      <alignment horizontal="center" shrinkToFit="0" vertical="center" wrapText="1"/>
    </xf>
    <xf borderId="11" fillId="10" fontId="29" numFmtId="0" xfId="0" applyAlignment="1" applyBorder="1" applyFont="1">
      <alignment horizontal="center" shrinkToFit="0" vertical="center" wrapText="1"/>
    </xf>
    <xf borderId="17" fillId="66" fontId="29" numFmtId="0" xfId="0" applyAlignment="1" applyBorder="1" applyFont="1">
      <alignment horizontal="center" shrinkToFit="0" vertical="center" wrapText="1"/>
    </xf>
    <xf borderId="1" fillId="10" fontId="29" numFmtId="0" xfId="0" applyAlignment="1" applyBorder="1" applyFont="1">
      <alignment horizontal="center" shrinkToFit="0" vertical="center" wrapText="1"/>
    </xf>
    <xf borderId="12" fillId="8" fontId="29" numFmtId="0" xfId="0" applyAlignment="1" applyBorder="1" applyFont="1">
      <alignment horizontal="center" readingOrder="0" shrinkToFit="0" vertical="center" wrapText="1"/>
    </xf>
    <xf borderId="11" fillId="68" fontId="43" numFmtId="0" xfId="0" applyAlignment="1" applyBorder="1" applyFont="1">
      <alignment horizontal="center" readingOrder="0" shrinkToFit="0" vertical="center" wrapText="1"/>
    </xf>
    <xf borderId="5" fillId="66" fontId="29" numFmtId="0" xfId="0" applyAlignment="1" applyBorder="1" applyFont="1">
      <alignment horizontal="center" shrinkToFit="0" vertical="center" wrapText="1"/>
    </xf>
    <xf borderId="3" fillId="65" fontId="43" numFmtId="0" xfId="0" applyAlignment="1" applyBorder="1" applyFont="1">
      <alignment horizontal="center" shrinkToFit="0" vertical="center" wrapText="1"/>
    </xf>
    <xf borderId="7" fillId="66"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17" fillId="65" fontId="43" numFmtId="0" xfId="0" applyAlignment="1" applyBorder="1" applyFont="1">
      <alignment horizontal="center" shrinkToFit="0" vertical="center" wrapText="1"/>
    </xf>
    <xf borderId="11" fillId="69" fontId="43" numFmtId="0" xfId="0" applyAlignment="1" applyBorder="1" applyFont="1">
      <alignment horizontal="center" readingOrder="0" shrinkToFit="0" vertical="center" wrapText="1"/>
    </xf>
    <xf borderId="3" fillId="66" fontId="29" numFmtId="0" xfId="0" applyAlignment="1" applyBorder="1" applyFont="1">
      <alignment horizontal="center" readingOrder="0" shrinkToFit="0" vertical="center" wrapText="1"/>
    </xf>
    <xf borderId="3" fillId="68" fontId="43" numFmtId="0" xfId="0" applyAlignment="1" applyBorder="1" applyFont="1">
      <alignment horizontal="center" shrinkToFit="0" vertical="center" wrapText="1"/>
    </xf>
    <xf borderId="12" fillId="10" fontId="29" numFmtId="0" xfId="0" applyAlignment="1" applyBorder="1" applyFont="1">
      <alignment horizontal="center" readingOrder="0" shrinkToFit="0" vertical="center" wrapText="1"/>
    </xf>
    <xf borderId="3" fillId="65" fontId="43" numFmtId="0" xfId="0" applyAlignment="1" applyBorder="1" applyFont="1">
      <alignment horizontal="center" readingOrder="0" shrinkToFit="0" vertical="center" wrapText="1"/>
    </xf>
    <xf borderId="17" fillId="68" fontId="43" numFmtId="0" xfId="0" applyAlignment="1" applyBorder="1" applyFont="1">
      <alignment horizontal="center" shrinkToFit="0" vertical="center" wrapText="1"/>
    </xf>
    <xf borderId="11" fillId="10" fontId="29" numFmtId="0" xfId="0" applyAlignment="1" applyBorder="1" applyFont="1">
      <alignment horizontal="center" shrinkToFit="0" vertical="center" wrapText="1"/>
    </xf>
    <xf borderId="5" fillId="68" fontId="43" numFmtId="0" xfId="0" applyAlignment="1" applyBorder="1" applyFont="1">
      <alignment horizontal="center" shrinkToFit="0" vertical="center" wrapText="1"/>
    </xf>
    <xf borderId="7" fillId="68" fontId="43" numFmtId="0" xfId="0" applyAlignment="1" applyBorder="1" applyFont="1">
      <alignment horizontal="center" shrinkToFit="0" vertical="center" wrapText="1"/>
    </xf>
    <xf borderId="5" fillId="65" fontId="43" numFmtId="0" xfId="0" applyAlignment="1" applyBorder="1" applyFont="1">
      <alignment horizontal="center" shrinkToFit="0" vertical="center" wrapText="1"/>
    </xf>
    <xf borderId="3" fillId="68" fontId="43" numFmtId="0" xfId="0" applyAlignment="1" applyBorder="1" applyFont="1">
      <alignment horizontal="center" readingOrder="0" shrinkToFit="0" vertical="center" wrapText="1"/>
    </xf>
    <xf borderId="7" fillId="65" fontId="43" numFmtId="0" xfId="0" applyAlignment="1" applyBorder="1" applyFont="1">
      <alignment horizontal="center" shrinkToFit="0" vertical="center" wrapText="1"/>
    </xf>
    <xf borderId="1" fillId="10" fontId="29" numFmtId="0" xfId="0" applyAlignment="1" applyBorder="1" applyFont="1">
      <alignment horizontal="center" readingOrder="0" shrinkToFit="0" vertical="center" wrapText="1"/>
    </xf>
    <xf borderId="11" fillId="10" fontId="29" numFmtId="0" xfId="0" applyAlignment="1" applyBorder="1" applyFont="1">
      <alignment horizontal="center" readingOrder="0" shrinkToFit="0" vertical="center" wrapText="1"/>
    </xf>
    <xf borderId="24" fillId="70" fontId="17" numFmtId="0" xfId="0" applyAlignment="1" applyBorder="1" applyFill="1" applyFont="1">
      <alignment horizontal="center" readingOrder="0" shrinkToFit="0" vertical="center" wrapText="1"/>
    </xf>
    <xf borderId="24" fillId="15" fontId="45" numFmtId="0" xfId="0" applyAlignment="1" applyBorder="1" applyFont="1">
      <alignment horizontal="center" readingOrder="0" shrinkToFit="0" vertical="center" wrapText="1"/>
    </xf>
    <xf borderId="25" fillId="15" fontId="45" numFmtId="0" xfId="0" applyAlignment="1" applyBorder="1" applyFont="1">
      <alignment horizontal="center" readingOrder="0" shrinkToFit="0" vertical="center" wrapText="1"/>
    </xf>
    <xf borderId="26" fillId="70" fontId="17" numFmtId="0" xfId="0" applyAlignment="1" applyBorder="1" applyFont="1">
      <alignment horizontal="center" readingOrder="0" shrinkToFit="0" vertical="center" wrapText="1"/>
    </xf>
    <xf borderId="27" fillId="15" fontId="45" numFmtId="0" xfId="0" applyAlignment="1" applyBorder="1" applyFont="1">
      <alignment horizontal="center" readingOrder="0" shrinkToFit="0" vertical="center" wrapText="1"/>
    </xf>
    <xf borderId="3" fillId="8" fontId="29" numFmtId="0" xfId="0" applyAlignment="1" applyBorder="1" applyFont="1">
      <alignment horizontal="center" shrinkToFit="0" vertical="center" wrapText="1"/>
    </xf>
    <xf borderId="28" fillId="15" fontId="45" numFmtId="0" xfId="0" applyAlignment="1" applyBorder="1" applyFont="1">
      <alignment horizontal="center" readingOrder="0" shrinkToFit="0" vertical="center" wrapText="1"/>
    </xf>
    <xf borderId="17" fillId="8" fontId="29" numFmtId="0" xfId="0" applyAlignment="1" applyBorder="1" applyFont="1">
      <alignment horizontal="center" shrinkToFit="0" vertical="center" wrapText="1"/>
    </xf>
    <xf borderId="26" fillId="15" fontId="45" numFmtId="0" xfId="0" applyAlignment="1" applyBorder="1" applyFont="1">
      <alignment horizontal="center" readingOrder="0" shrinkToFit="0" vertical="center" wrapText="1"/>
    </xf>
    <xf borderId="0" fillId="55" fontId="46" numFmtId="0" xfId="0" applyAlignment="1" applyFont="1">
      <alignment horizontal="center" readingOrder="0" shrinkToFit="0" vertical="center" wrapText="0"/>
    </xf>
    <xf borderId="3" fillId="8" fontId="29" numFmtId="0" xfId="0" applyAlignment="1" applyBorder="1" applyFont="1">
      <alignment horizontal="center" readingOrder="0" shrinkToFit="0" vertical="center" wrapText="1"/>
    </xf>
    <xf borderId="29" fillId="15" fontId="45" numFmtId="0" xfId="0" applyAlignment="1" applyBorder="1" applyFont="1">
      <alignment horizontal="center" readingOrder="0" shrinkToFit="0" vertical="center" wrapText="1"/>
    </xf>
    <xf borderId="0" fillId="55" fontId="47" numFmtId="0" xfId="0" applyAlignment="1" applyFont="1">
      <alignment horizontal="center" readingOrder="0" shrinkToFit="0" vertical="center" wrapText="0"/>
    </xf>
    <xf borderId="29" fillId="15" fontId="1" numFmtId="0" xfId="0" applyAlignment="1" applyBorder="1" applyFont="1">
      <alignment horizontal="center" readingOrder="0" shrinkToFit="0" vertical="center" wrapText="1"/>
    </xf>
    <xf borderId="3" fillId="8" fontId="29" numFmtId="0" xfId="0" applyAlignment="1" applyBorder="1" applyFont="1">
      <alignment horizontal="center" shrinkToFit="0" vertical="center" wrapText="1"/>
    </xf>
    <xf borderId="30" fillId="0" fontId="5" numFmtId="0" xfId="0" applyBorder="1" applyFont="1"/>
    <xf borderId="5" fillId="8" fontId="29" numFmtId="0" xfId="0" applyAlignment="1" applyBorder="1" applyFont="1">
      <alignment horizontal="center" shrinkToFit="0" vertical="center" wrapText="1"/>
    </xf>
    <xf borderId="31" fillId="15" fontId="1" numFmtId="0" xfId="0" applyAlignment="1" applyBorder="1" applyFont="1">
      <alignment horizontal="center" readingOrder="0" shrinkToFit="0" vertical="center" wrapText="1"/>
    </xf>
    <xf borderId="29" fillId="13" fontId="45" numFmtId="0" xfId="0" applyAlignment="1" applyBorder="1" applyFont="1">
      <alignment horizontal="center" readingOrder="0" shrinkToFit="0" vertical="center" wrapText="1"/>
    </xf>
    <xf borderId="0" fillId="66" fontId="48" numFmtId="0" xfId="0" applyAlignment="1" applyFont="1">
      <alignment horizontal="center" shrinkToFit="0" vertical="center" wrapText="0"/>
    </xf>
    <xf borderId="28" fillId="0" fontId="5" numFmtId="0" xfId="0" applyBorder="1" applyFont="1"/>
    <xf borderId="7" fillId="8" fontId="29" numFmtId="0" xfId="0" applyAlignment="1" applyBorder="1" applyFont="1">
      <alignment horizontal="center" readingOrder="0" shrinkToFit="0" vertical="center" wrapText="1"/>
    </xf>
    <xf borderId="3" fillId="13" fontId="45" numFmtId="0" xfId="0" applyAlignment="1" applyBorder="1" applyFont="1">
      <alignment horizontal="center" readingOrder="0" shrinkToFit="0" vertical="center" wrapText="1"/>
    </xf>
    <xf borderId="30" fillId="66" fontId="48" numFmtId="0" xfId="0" applyAlignment="1" applyBorder="1" applyFont="1">
      <alignment horizontal="center" readingOrder="0" shrinkToFit="0" vertical="center" wrapText="0"/>
    </xf>
    <xf borderId="26" fillId="0" fontId="5" numFmtId="0" xfId="0" applyBorder="1" applyFont="1"/>
    <xf borderId="32" fillId="0" fontId="5" numFmtId="0" xfId="0" applyBorder="1" applyFont="1"/>
    <xf borderId="0" fillId="66" fontId="48" numFmtId="0" xfId="0" applyAlignment="1" applyFont="1">
      <alignment horizontal="center" readingOrder="0" shrinkToFit="0" vertical="center" wrapText="0"/>
    </xf>
    <xf borderId="29" fillId="16" fontId="45" numFmtId="0" xfId="0" applyAlignment="1" applyBorder="1" applyFont="1">
      <alignment horizontal="center" readingOrder="0" shrinkToFit="0" vertical="center" wrapText="1"/>
    </xf>
    <xf borderId="33" fillId="16" fontId="45" numFmtId="0" xfId="0" applyAlignment="1" applyBorder="1" applyFont="1">
      <alignment horizontal="center" readingOrder="0" shrinkToFit="0" vertical="center" wrapText="1"/>
    </xf>
    <xf borderId="0" fillId="71" fontId="6" numFmtId="0" xfId="0" applyAlignment="1" applyFill="1" applyFont="1">
      <alignment horizontal="center" shrinkToFit="0" vertical="center" wrapText="0"/>
    </xf>
    <xf borderId="33" fillId="18" fontId="45" numFmtId="0" xfId="0" applyAlignment="1" applyBorder="1" applyFont="1">
      <alignment horizontal="center" readingOrder="0" shrinkToFit="0" vertical="center" wrapText="1"/>
    </xf>
    <xf borderId="30" fillId="71" fontId="6" numFmtId="0" xfId="0" applyAlignment="1" applyBorder="1" applyFont="1">
      <alignment horizontal="center" shrinkToFit="0" vertical="center" wrapText="0"/>
    </xf>
    <xf borderId="30" fillId="71" fontId="6" numFmtId="0" xfId="0" applyAlignment="1" applyBorder="1" applyFont="1">
      <alignment horizontal="center" readingOrder="0" shrinkToFit="0" vertical="center" wrapText="0"/>
    </xf>
    <xf borderId="0" fillId="71" fontId="6" numFmtId="0" xfId="0" applyAlignment="1" applyFont="1">
      <alignment horizontal="center" readingOrder="0" shrinkToFit="0" vertical="center" wrapText="0"/>
    </xf>
    <xf borderId="29" fillId="18" fontId="45" numFmtId="0" xfId="0" applyAlignment="1" applyBorder="1" applyFont="1">
      <alignment horizontal="center" readingOrder="0" shrinkToFit="0" vertical="center" wrapText="1"/>
    </xf>
    <xf borderId="0" fillId="71" fontId="6" numFmtId="0" xfId="0" applyAlignment="1" applyFont="1">
      <alignment horizontal="center" shrinkToFit="0" vertical="center" wrapText="0"/>
    </xf>
    <xf borderId="0" fillId="66" fontId="6" numFmtId="0" xfId="0" applyAlignment="1" applyFont="1">
      <alignment horizontal="center" shrinkToFit="0" vertical="center" wrapText="0"/>
    </xf>
    <xf borderId="33" fillId="20" fontId="45" numFmtId="0" xfId="0" applyAlignment="1" applyBorder="1" applyFont="1">
      <alignment horizontal="center" readingOrder="0" shrinkToFit="0" vertical="center" wrapText="1"/>
    </xf>
    <xf borderId="30" fillId="66" fontId="6" numFmtId="0" xfId="0" applyAlignment="1" applyBorder="1" applyFont="1">
      <alignment horizontal="center" shrinkToFit="0" vertical="center" wrapText="0"/>
    </xf>
    <xf borderId="29" fillId="21" fontId="45" numFmtId="0" xfId="0" applyAlignment="1" applyBorder="1" applyFont="1">
      <alignment horizontal="center" readingOrder="0" shrinkToFit="0" vertical="center" wrapText="1"/>
    </xf>
    <xf borderId="30" fillId="66" fontId="6" numFmtId="0" xfId="0" applyAlignment="1" applyBorder="1" applyFont="1">
      <alignment horizontal="center" readingOrder="0" shrinkToFit="0" vertical="center" wrapText="0"/>
    </xf>
    <xf borderId="0" fillId="66" fontId="6" numFmtId="0" xfId="0" applyAlignment="1" applyFont="1">
      <alignment horizontal="center" shrinkToFit="0" vertical="center" wrapText="0"/>
    </xf>
    <xf borderId="33" fillId="22" fontId="45" numFmtId="0" xfId="0" applyAlignment="1" applyBorder="1" applyFont="1">
      <alignment horizontal="center" readingOrder="0" shrinkToFit="0" vertical="center" wrapText="1"/>
    </xf>
    <xf borderId="30" fillId="66" fontId="6" numFmtId="0" xfId="0" applyAlignment="1" applyBorder="1" applyFont="1">
      <alignment horizontal="center" shrinkToFit="0" vertical="center" wrapText="0"/>
    </xf>
    <xf borderId="29" fillId="22" fontId="45" numFmtId="0" xfId="0" applyAlignment="1" applyBorder="1" applyFont="1">
      <alignment horizontal="center" readingOrder="0" shrinkToFit="0" vertical="center" wrapText="1"/>
    </xf>
    <xf borderId="0" fillId="66" fontId="6" numFmtId="0" xfId="0" applyAlignment="1" applyFont="1">
      <alignment horizontal="center" readingOrder="0" shrinkToFit="0" vertical="center" wrapText="0"/>
    </xf>
    <xf borderId="33" fillId="24" fontId="45" numFmtId="0" xfId="0" applyAlignment="1" applyBorder="1" applyFont="1">
      <alignment horizontal="center" readingOrder="0" shrinkToFit="0" vertical="center" wrapText="1"/>
    </xf>
    <xf borderId="29" fillId="24" fontId="45" numFmtId="0" xfId="0" applyAlignment="1" applyBorder="1" applyFont="1">
      <alignment horizontal="center" readingOrder="0" shrinkToFit="0" vertical="center" wrapText="1"/>
    </xf>
    <xf borderId="30" fillId="71" fontId="6" numFmtId="0" xfId="0" applyAlignment="1" applyBorder="1" applyFont="1">
      <alignment horizontal="center" shrinkToFit="0" vertical="center" wrapText="0"/>
    </xf>
    <xf borderId="26" fillId="15" fontId="5" numFmtId="0" xfId="0" applyAlignment="1" applyBorder="1" applyFont="1">
      <alignment horizontal="center" readingOrder="0" shrinkToFit="0" vertical="center" wrapText="1"/>
    </xf>
    <xf borderId="34" fillId="14" fontId="5" numFmtId="0" xfId="0" applyAlignment="1" applyBorder="1" applyFont="1">
      <alignment horizontal="center" readingOrder="0" shrinkToFit="0" vertical="center" wrapText="1"/>
    </xf>
    <xf borderId="35" fillId="15" fontId="5" numFmtId="0" xfId="0" applyAlignment="1" applyBorder="1" applyFont="1">
      <alignment horizontal="center" readingOrder="0" shrinkToFit="0" vertical="center" wrapText="1"/>
    </xf>
    <xf borderId="36" fillId="14" fontId="5" numFmtId="0" xfId="0" applyAlignment="1" applyBorder="1" applyFont="1">
      <alignment horizontal="center" readingOrder="0" shrinkToFit="0" vertical="center" wrapText="1"/>
    </xf>
    <xf borderId="0" fillId="55" fontId="49" numFmtId="0" xfId="0" applyAlignment="1" applyFont="1">
      <alignment horizontal="center" readingOrder="0" shrinkToFit="0" vertical="center" wrapText="0"/>
    </xf>
    <xf borderId="37" fillId="17" fontId="5" numFmtId="0" xfId="0" applyAlignment="1" applyBorder="1" applyFont="1">
      <alignment horizontal="center" readingOrder="0" shrinkToFit="0" vertical="center" wrapText="1"/>
    </xf>
    <xf borderId="38" fillId="66" fontId="6" numFmtId="0" xfId="0" applyAlignment="1" applyBorder="1" applyFont="1">
      <alignment horizontal="center" readingOrder="0" shrinkToFit="0" vertical="center" wrapText="0"/>
    </xf>
    <xf borderId="34" fillId="17" fontId="5" numFmtId="0" xfId="0" applyAlignment="1" applyBorder="1" applyFont="1">
      <alignment horizontal="center" readingOrder="0" shrinkToFit="0" vertical="center" wrapText="1"/>
    </xf>
    <xf borderId="36" fillId="17" fontId="5" numFmtId="0" xfId="0" applyAlignment="1" applyBorder="1" applyFont="1">
      <alignment horizontal="center" readingOrder="0" shrinkToFit="0" vertical="center" wrapText="1"/>
    </xf>
    <xf borderId="37" fillId="19" fontId="5" numFmtId="0" xfId="0" applyAlignment="1" applyBorder="1" applyFont="1">
      <alignment horizontal="center" readingOrder="0" shrinkToFit="0" vertical="center" wrapText="1"/>
    </xf>
    <xf borderId="34" fillId="19" fontId="5" numFmtId="0" xfId="0" applyAlignment="1" applyBorder="1" applyFont="1">
      <alignment horizontal="center" readingOrder="0" shrinkToFit="0" vertical="center" wrapText="1"/>
    </xf>
    <xf borderId="13" fillId="66" fontId="6" numFmtId="0" xfId="0" applyAlignment="1" applyBorder="1" applyFont="1">
      <alignment horizontal="center" readingOrder="0" shrinkToFit="0" vertical="center" wrapText="0"/>
    </xf>
    <xf borderId="36" fillId="19" fontId="5" numFmtId="0" xfId="0" applyAlignment="1" applyBorder="1" applyFont="1">
      <alignment horizontal="center" readingOrder="0" shrinkToFit="0" vertical="center" wrapText="1"/>
    </xf>
    <xf borderId="39" fillId="66" fontId="6" numFmtId="0" xfId="0" applyAlignment="1" applyBorder="1" applyFont="1">
      <alignment horizontal="center" readingOrder="0" shrinkToFit="0" vertical="center" wrapText="0"/>
    </xf>
    <xf borderId="37" fillId="21" fontId="5" numFmtId="0" xfId="0" applyAlignment="1" applyBorder="1" applyFont="1">
      <alignment horizontal="center" readingOrder="0" shrinkToFit="0" vertical="center" wrapText="1"/>
    </xf>
    <xf borderId="34" fillId="21" fontId="5" numFmtId="0" xfId="0" applyAlignment="1" applyBorder="1" applyFont="1">
      <alignment horizontal="center" readingOrder="0" shrinkToFit="0" vertical="center" wrapText="1"/>
    </xf>
    <xf borderId="13" fillId="66" fontId="6" numFmtId="0" xfId="0" applyAlignment="1" applyBorder="1" applyFont="1">
      <alignment horizontal="center" shrinkToFit="0" vertical="center" wrapText="0"/>
    </xf>
    <xf borderId="39" fillId="66" fontId="6" numFmtId="0" xfId="0" applyAlignment="1" applyBorder="1" applyFont="1">
      <alignment horizontal="center" shrinkToFit="0" vertical="center" wrapText="0"/>
    </xf>
    <xf borderId="36" fillId="21" fontId="5" numFmtId="0" xfId="0" applyAlignment="1" applyBorder="1" applyFont="1">
      <alignment horizontal="center" readingOrder="0" shrinkToFit="0" vertical="center" wrapText="1"/>
    </xf>
    <xf borderId="37" fillId="23" fontId="5" numFmtId="0" xfId="0" applyAlignment="1" applyBorder="1" applyFont="1">
      <alignment horizontal="center" readingOrder="0" shrinkToFit="0" vertical="center" wrapText="1"/>
    </xf>
    <xf borderId="34" fillId="23" fontId="5" numFmtId="0" xfId="0" applyAlignment="1" applyBorder="1" applyFont="1">
      <alignment horizontal="center" readingOrder="0" shrinkToFit="0" vertical="center" wrapText="1"/>
    </xf>
    <xf borderId="0" fillId="55" fontId="46" numFmtId="0" xfId="0" applyAlignment="1" applyFont="1">
      <alignment horizontal="center" shrinkToFit="0" vertical="center" wrapText="0"/>
    </xf>
    <xf borderId="35" fillId="14" fontId="5" numFmtId="0" xfId="0" applyAlignment="1" applyBorder="1" applyFont="1">
      <alignment horizontal="center" readingOrder="0" shrinkToFit="0" vertical="center" wrapText="1"/>
    </xf>
    <xf borderId="36" fillId="23" fontId="5" numFmtId="0" xfId="0" applyAlignment="1" applyBorder="1" applyFont="1">
      <alignment horizontal="center" readingOrder="0" shrinkToFit="0" vertical="center" wrapText="1"/>
    </xf>
    <xf borderId="0" fillId="66" fontId="6" numFmtId="49" xfId="0" applyAlignment="1" applyFont="1" applyNumberFormat="1">
      <alignment horizontal="center" readingOrder="0" shrinkToFit="0" vertical="center" wrapText="0"/>
    </xf>
    <xf borderId="37" fillId="25" fontId="5" numFmtId="0" xfId="0" applyAlignment="1" applyBorder="1" applyFont="1">
      <alignment horizontal="center" readingOrder="0" shrinkToFit="0" vertical="center" wrapText="1"/>
    </xf>
    <xf borderId="34" fillId="25" fontId="5" numFmtId="0" xfId="0" applyAlignment="1" applyBorder="1" applyFont="1">
      <alignment horizontal="center" readingOrder="0" shrinkToFit="0" vertical="center" wrapText="1"/>
    </xf>
    <xf borderId="36" fillId="25" fontId="5" numFmtId="0" xfId="0" applyAlignment="1" applyBorder="1" applyFont="1">
      <alignment horizontal="center" readingOrder="0" shrinkToFit="0" vertical="center" wrapText="1"/>
    </xf>
    <xf borderId="30" fillId="66" fontId="6" numFmtId="49" xfId="0" applyAlignment="1" applyBorder="1" applyFont="1" applyNumberFormat="1">
      <alignment horizontal="center" readingOrder="0" shrinkToFit="0" vertical="center" wrapText="0"/>
    </xf>
    <xf borderId="31" fillId="15" fontId="50" numFmtId="0" xfId="0" applyAlignment="1" applyBorder="1" applyFont="1">
      <alignment horizontal="center" readingOrder="0" shrinkToFit="0" vertical="center" wrapText="1"/>
    </xf>
    <xf borderId="0" fillId="71" fontId="48" numFmtId="0" xfId="0" applyAlignment="1" applyFont="1">
      <alignment horizontal="center" shrinkToFit="0" vertical="center" wrapText="0"/>
    </xf>
    <xf borderId="0" fillId="71" fontId="6" numFmtId="49" xfId="0" applyAlignment="1" applyFont="1" applyNumberFormat="1">
      <alignment horizontal="center" readingOrder="0" shrinkToFit="0" vertical="center" wrapText="0"/>
    </xf>
    <xf borderId="3" fillId="18" fontId="45" numFmtId="0" xfId="0" applyAlignment="1" applyBorder="1" applyFont="1">
      <alignment horizontal="center" readingOrder="0" shrinkToFit="0" vertical="center" wrapText="1"/>
    </xf>
    <xf borderId="33" fillId="3" fontId="51" numFmtId="0" xfId="0" applyAlignment="1" applyBorder="1" applyFont="1">
      <alignment horizontal="center" readingOrder="0" shrinkToFit="0" vertical="center" wrapText="1"/>
    </xf>
    <xf borderId="33" fillId="19" fontId="45" numFmtId="0" xfId="0" applyAlignment="1" applyBorder="1" applyFont="1">
      <alignment horizontal="center" readingOrder="0" shrinkToFit="0" vertical="center" wrapText="1"/>
    </xf>
    <xf borderId="0" fillId="14" fontId="5" numFmtId="0" xfId="0" applyAlignment="1" applyFont="1">
      <alignment horizontal="center" readingOrder="0" shrinkToFit="0" vertical="center" wrapText="1"/>
    </xf>
    <xf borderId="33" fillId="23" fontId="52" numFmtId="0" xfId="0" applyAlignment="1" applyBorder="1" applyFont="1">
      <alignment horizontal="center" readingOrder="0" shrinkToFit="0" vertical="center" wrapText="1"/>
    </xf>
    <xf borderId="33" fillId="30" fontId="53" numFmtId="0" xfId="0" applyAlignment="1" applyBorder="1" applyFont="1">
      <alignment horizontal="center" readingOrder="0" shrinkToFit="0" vertical="center" wrapText="1"/>
    </xf>
    <xf borderId="40" fillId="14" fontId="5" numFmtId="0" xfId="0" applyAlignment="1" applyBorder="1" applyFont="1">
      <alignment horizontal="center" readingOrder="0" shrinkToFit="0" vertical="center" wrapText="1"/>
    </xf>
    <xf borderId="33" fillId="35" fontId="45" numFmtId="0" xfId="0" applyAlignment="1" applyBorder="1" applyFont="1">
      <alignment horizontal="center" readingOrder="0" shrinkToFit="0" vertical="center" wrapText="1"/>
    </xf>
    <xf borderId="30" fillId="71" fontId="6" numFmtId="49" xfId="0" applyAlignment="1" applyBorder="1" applyFont="1" applyNumberFormat="1">
      <alignment horizontal="center" readingOrder="0" shrinkToFit="0" vertical="center" wrapText="0"/>
    </xf>
    <xf borderId="26" fillId="15" fontId="54" numFmtId="0" xfId="0" applyAlignment="1" applyBorder="1" applyFont="1">
      <alignment horizontal="center" readingOrder="0" shrinkToFit="0" vertical="center" wrapText="1"/>
    </xf>
    <xf borderId="16" fillId="72" fontId="5" numFmtId="0" xfId="0" applyAlignment="1" applyBorder="1" applyFill="1" applyFont="1">
      <alignment horizontal="center" readingOrder="0" shrinkToFit="0" vertical="center" wrapText="1"/>
    </xf>
    <xf borderId="41" fillId="72" fontId="5" numFmtId="0" xfId="0" applyAlignment="1" applyBorder="1" applyFont="1">
      <alignment horizontal="center" readingOrder="0" shrinkToFit="0" vertical="center" wrapText="1"/>
    </xf>
    <xf borderId="42" fillId="28" fontId="55" numFmtId="0" xfId="0" applyAlignment="1" applyBorder="1" applyFont="1">
      <alignment horizontal="center" readingOrder="0" shrinkToFit="0" vertical="center" wrapText="1"/>
    </xf>
    <xf borderId="35" fillId="17" fontId="5" numFmtId="0" xfId="0" applyAlignment="1" applyBorder="1" applyFont="1">
      <alignment horizontal="center" readingOrder="0" shrinkToFit="0" vertical="center" wrapText="1"/>
    </xf>
    <xf borderId="16" fillId="28" fontId="55" numFmtId="0" xfId="0" applyAlignment="1" applyBorder="1" applyFont="1">
      <alignment horizontal="center" readingOrder="0" shrinkToFit="0" vertical="center" wrapText="1"/>
    </xf>
    <xf borderId="41" fillId="28" fontId="55" numFmtId="0" xfId="0" applyAlignment="1" applyBorder="1" applyFont="1">
      <alignment horizontal="center" readingOrder="0" shrinkToFit="0" vertical="center" wrapText="1"/>
    </xf>
    <xf borderId="42" fillId="31" fontId="5" numFmtId="0" xfId="0" applyAlignment="1" applyBorder="1" applyFont="1">
      <alignment horizontal="center" readingOrder="0" shrinkToFit="0" vertical="center" wrapText="1"/>
    </xf>
    <xf borderId="16" fillId="31" fontId="5" numFmtId="0" xfId="0" applyAlignment="1" applyBorder="1" applyFont="1">
      <alignment horizontal="center" readingOrder="0" shrinkToFit="0" vertical="center" wrapText="1"/>
    </xf>
    <xf borderId="41" fillId="31" fontId="5" numFmtId="0" xfId="0" applyAlignment="1" applyBorder="1" applyFont="1">
      <alignment horizontal="center" readingOrder="0" shrinkToFit="0" vertical="center" wrapText="1"/>
    </xf>
    <xf borderId="42" fillId="27" fontId="54" numFmtId="0" xfId="0" applyAlignment="1" applyBorder="1" applyFont="1">
      <alignment horizontal="center" readingOrder="0" shrinkToFit="0" vertical="center" wrapText="1"/>
    </xf>
    <xf borderId="0" fillId="17" fontId="5" numFmtId="1" xfId="0" applyAlignment="1" applyFont="1" applyNumberFormat="1">
      <alignment horizontal="center" readingOrder="0" shrinkToFit="0" vertical="center" wrapText="1"/>
    </xf>
    <xf borderId="43" fillId="55" fontId="46" numFmtId="0" xfId="0" applyAlignment="1" applyBorder="1" applyFont="1">
      <alignment horizontal="center" readingOrder="0" shrinkToFit="0" vertical="bottom" wrapText="0"/>
    </xf>
    <xf borderId="16" fillId="27" fontId="54" numFmtId="0" xfId="0" applyAlignment="1" applyBorder="1" applyFont="1">
      <alignment horizontal="center" readingOrder="0" shrinkToFit="0" vertical="center" wrapText="1"/>
    </xf>
    <xf borderId="43" fillId="0" fontId="5" numFmtId="0" xfId="0" applyBorder="1" applyFont="1"/>
    <xf borderId="41" fillId="27" fontId="54" numFmtId="0" xfId="0" applyAlignment="1" applyBorder="1" applyFont="1">
      <alignment horizontal="center" readingOrder="0" shrinkToFit="0" vertical="center" wrapText="1"/>
    </xf>
    <xf borderId="42" fillId="32" fontId="9" numFmtId="0" xfId="0" applyAlignment="1" applyBorder="1" applyFont="1">
      <alignment horizontal="center" readingOrder="0" shrinkToFit="0" vertical="center" wrapText="1"/>
    </xf>
    <xf borderId="44" fillId="0" fontId="5" numFmtId="0" xfId="0" applyBorder="1" applyFont="1"/>
    <xf borderId="16" fillId="32" fontId="9" numFmtId="0" xfId="0" applyAlignment="1" applyBorder="1" applyFont="1">
      <alignment horizontal="center" readingOrder="0" shrinkToFit="0" vertical="center" wrapText="1"/>
    </xf>
    <xf borderId="0" fillId="55" fontId="13" numFmtId="0" xfId="0" applyAlignment="1" applyFont="1">
      <alignment horizontal="center" readingOrder="0" shrinkToFit="0" vertical="bottom" wrapText="0"/>
    </xf>
    <xf borderId="41" fillId="32" fontId="9" numFmtId="0" xfId="0" applyAlignment="1" applyBorder="1" applyFont="1">
      <alignment horizontal="center" readingOrder="0" shrinkToFit="0" vertical="center" wrapText="1"/>
    </xf>
    <xf borderId="0" fillId="55" fontId="13" numFmtId="0" xfId="0" applyAlignment="1" applyFont="1">
      <alignment horizontal="center" vertical="bottom"/>
    </xf>
    <xf borderId="42" fillId="73" fontId="5" numFmtId="0" xfId="0" applyAlignment="1" applyBorder="1" applyFill="1" applyFont="1">
      <alignment horizontal="center" readingOrder="0" shrinkToFit="0" vertical="center" wrapText="1"/>
    </xf>
    <xf borderId="16" fillId="73" fontId="5" numFmtId="0" xfId="0" applyAlignment="1" applyBorder="1" applyFont="1">
      <alignment horizontal="center" readingOrder="0" shrinkToFit="0" vertical="center" wrapText="1"/>
    </xf>
    <xf borderId="40" fillId="17" fontId="5" numFmtId="1" xfId="0" applyAlignment="1" applyBorder="1" applyFont="1" applyNumberFormat="1">
      <alignment horizontal="center" readingOrder="0" shrinkToFit="0" vertical="center" wrapText="1"/>
    </xf>
    <xf borderId="41" fillId="73" fontId="5" numFmtId="0" xfId="0" applyAlignment="1" applyBorder="1" applyFont="1">
      <alignment horizontal="center" readingOrder="0" shrinkToFit="0" vertical="center" wrapText="1"/>
    </xf>
    <xf borderId="38" fillId="71" fontId="29" numFmtId="0" xfId="0" applyAlignment="1" applyBorder="1" applyFont="1">
      <alignment horizontal="center" readingOrder="0" shrinkToFit="0" vertical="center" wrapText="1"/>
    </xf>
    <xf borderId="45" fillId="26" fontId="51" numFmtId="0" xfId="0" applyAlignment="1" applyBorder="1" applyFont="1">
      <alignment horizontal="center" readingOrder="0" shrinkToFit="0" vertical="center" wrapText="1"/>
    </xf>
    <xf borderId="45" fillId="0" fontId="5" numFmtId="0" xfId="0" applyBorder="1" applyFont="1"/>
    <xf borderId="46" fillId="0" fontId="5" numFmtId="0" xfId="0" applyBorder="1" applyFont="1"/>
    <xf borderId="35" fillId="19" fontId="5" numFmtId="0" xfId="0" applyAlignment="1" applyBorder="1" applyFont="1">
      <alignment horizontal="center" readingOrder="0" shrinkToFit="0" vertical="center" wrapText="1"/>
    </xf>
    <xf borderId="47" fillId="33" fontId="52" numFmtId="0" xfId="0" applyAlignment="1" applyBorder="1" applyFont="1">
      <alignment horizontal="center" readingOrder="0" shrinkToFit="0" vertical="center" wrapText="1"/>
    </xf>
    <xf borderId="48" fillId="71" fontId="29" numFmtId="0" xfId="0" applyAlignment="1" applyBorder="1" applyFont="1">
      <alignment horizontal="center" readingOrder="0" shrinkToFit="0" vertical="center" wrapText="1"/>
    </xf>
    <xf borderId="13" fillId="0" fontId="5" numFmtId="0" xfId="0" applyBorder="1" applyFont="1"/>
    <xf borderId="47" fillId="37" fontId="51" numFmtId="0" xfId="0" applyAlignment="1" applyBorder="1" applyFont="1">
      <alignment horizontal="center" readingOrder="0" shrinkToFit="0" vertical="center" wrapText="1"/>
    </xf>
    <xf borderId="0" fillId="19" fontId="5" numFmtId="0" xfId="0" applyAlignment="1" applyFont="1">
      <alignment horizontal="center" readingOrder="0" shrinkToFit="0" vertical="center" wrapText="1"/>
    </xf>
    <xf borderId="39" fillId="0" fontId="5" numFmtId="0" xfId="0" applyBorder="1" applyFont="1"/>
    <xf borderId="47" fillId="38" fontId="51" numFmtId="0" xfId="0" applyAlignment="1" applyBorder="1" applyFont="1">
      <alignment horizontal="center" readingOrder="0" shrinkToFit="0" vertical="center" wrapText="1"/>
    </xf>
    <xf borderId="47" fillId="43" fontId="51" numFmtId="0" xfId="0" applyAlignment="1" applyBorder="1" applyFont="1">
      <alignment horizontal="center" readingOrder="0" shrinkToFit="0" vertical="center" wrapText="1"/>
    </xf>
    <xf borderId="40" fillId="19" fontId="5" numFmtId="0" xfId="0" applyAlignment="1" applyBorder="1" applyFont="1">
      <alignment horizontal="center" readingOrder="0" shrinkToFit="0" vertical="center" wrapText="1"/>
    </xf>
    <xf borderId="47" fillId="47" fontId="51" numFmtId="0" xfId="0" applyAlignment="1" applyBorder="1" applyFont="1">
      <alignment horizontal="center" readingOrder="0" shrinkToFit="0" vertical="center" wrapText="1"/>
    </xf>
    <xf borderId="16" fillId="74" fontId="55" numFmtId="0" xfId="0" applyAlignment="1" applyBorder="1" applyFill="1" applyFont="1">
      <alignment horizontal="center" readingOrder="0" shrinkToFit="0" vertical="center" wrapText="1"/>
    </xf>
    <xf borderId="35" fillId="20" fontId="5" numFmtId="0" xfId="0" applyAlignment="1" applyBorder="1" applyFont="1">
      <alignment horizontal="center" readingOrder="0" shrinkToFit="0" vertical="center" wrapText="1"/>
    </xf>
    <xf borderId="41" fillId="74" fontId="55" numFmtId="0" xfId="0" applyAlignment="1" applyBorder="1" applyFont="1">
      <alignment horizontal="center" readingOrder="0" shrinkToFit="0" vertical="center" wrapText="1"/>
    </xf>
    <xf borderId="42" fillId="34" fontId="54" numFmtId="0" xfId="0" applyAlignment="1" applyBorder="1" applyFont="1">
      <alignment horizontal="center" readingOrder="0" shrinkToFit="0" vertical="center" wrapText="1"/>
    </xf>
    <xf borderId="16" fillId="34" fontId="54" numFmtId="0" xfId="0" applyAlignment="1" applyBorder="1" applyFont="1">
      <alignment horizontal="center" readingOrder="0" shrinkToFit="0" vertical="center" wrapText="1"/>
    </xf>
    <xf borderId="41" fillId="34" fontId="54" numFmtId="0" xfId="0" applyAlignment="1" applyBorder="1" applyFont="1">
      <alignment horizontal="center" readingOrder="0" shrinkToFit="0" vertical="center" wrapText="1"/>
    </xf>
    <xf borderId="42" fillId="39" fontId="55" numFmtId="0" xfId="0" applyAlignment="1" applyBorder="1" applyFont="1">
      <alignment horizontal="center" readingOrder="0" shrinkToFit="0" vertical="center" wrapText="1"/>
    </xf>
    <xf borderId="16" fillId="39" fontId="55" numFmtId="0" xfId="0" applyAlignment="1" applyBorder="1" applyFont="1">
      <alignment horizontal="center" readingOrder="0" shrinkToFit="0" vertical="center" wrapText="1"/>
    </xf>
    <xf borderId="0" fillId="20" fontId="5" numFmtId="0" xfId="0" applyAlignment="1" applyFont="1">
      <alignment horizontal="center" readingOrder="0" shrinkToFit="0" vertical="center" wrapText="1"/>
    </xf>
    <xf borderId="41" fillId="39" fontId="55" numFmtId="0" xfId="0" applyAlignment="1" applyBorder="1" applyFont="1">
      <alignment horizontal="center" readingOrder="0" shrinkToFit="0" vertical="center" wrapText="1"/>
    </xf>
    <xf borderId="42" fillId="40" fontId="55" numFmtId="0" xfId="0" applyAlignment="1" applyBorder="1" applyFont="1">
      <alignment horizontal="center" readingOrder="0" shrinkToFit="0" vertical="center" wrapText="1"/>
    </xf>
    <xf borderId="16" fillId="40" fontId="55" numFmtId="0" xfId="0" applyAlignment="1" applyBorder="1" applyFont="1">
      <alignment horizontal="center" readingOrder="0" shrinkToFit="0" vertical="center" wrapText="1"/>
    </xf>
    <xf borderId="41" fillId="40" fontId="55" numFmtId="0" xfId="0" applyAlignment="1" applyBorder="1" applyFont="1">
      <alignment horizontal="center" readingOrder="0" shrinkToFit="0" vertical="center" wrapText="1"/>
    </xf>
    <xf borderId="42" fillId="44" fontId="55" numFmtId="0" xfId="0" applyAlignment="1" applyBorder="1" applyFont="1">
      <alignment horizontal="center" readingOrder="0" shrinkToFit="0" vertical="center" wrapText="1"/>
    </xf>
    <xf borderId="16" fillId="44" fontId="55" numFmtId="0" xfId="0" applyAlignment="1" applyBorder="1" applyFont="1">
      <alignment horizontal="center" readingOrder="0" shrinkToFit="0" vertical="center" wrapText="1"/>
    </xf>
    <xf borderId="40" fillId="20" fontId="5" numFmtId="0" xfId="0" applyAlignment="1" applyBorder="1" applyFont="1">
      <alignment horizontal="center" readingOrder="0" shrinkToFit="0" vertical="center" wrapText="1"/>
    </xf>
    <xf borderId="41" fillId="44" fontId="55" numFmtId="0" xfId="0" applyAlignment="1" applyBorder="1" applyFont="1">
      <alignment horizontal="center" readingOrder="0" shrinkToFit="0" vertical="center" wrapText="1"/>
    </xf>
    <xf borderId="42" fillId="43" fontId="55" numFmtId="0" xfId="0" applyAlignment="1" applyBorder="1" applyFont="1">
      <alignment horizontal="center" readingOrder="0" shrinkToFit="0" vertical="center" wrapText="1"/>
    </xf>
    <xf borderId="16" fillId="43" fontId="55" numFmtId="0" xfId="0" applyAlignment="1" applyBorder="1" applyFont="1">
      <alignment horizontal="center" readingOrder="0" shrinkToFit="0" vertical="center" wrapText="1"/>
    </xf>
    <xf borderId="41" fillId="43" fontId="55" numFmtId="0" xfId="0" applyAlignment="1" applyBorder="1" applyFont="1">
      <alignment horizontal="center" readingOrder="0" shrinkToFit="0" vertical="center" wrapText="1"/>
    </xf>
    <xf borderId="45" fillId="41" fontId="52" numFmtId="0" xfId="0" applyAlignment="1" applyBorder="1" applyFont="1">
      <alignment horizontal="center" readingOrder="0" shrinkToFit="0" vertical="center" wrapText="1"/>
    </xf>
    <xf borderId="35" fillId="23" fontId="5" numFmtId="0" xfId="0" applyAlignment="1" applyBorder="1" applyFont="1">
      <alignment horizontal="center" readingOrder="0" shrinkToFit="0" vertical="center" wrapText="1"/>
    </xf>
    <xf borderId="47" fillId="45" fontId="51" numFmtId="0" xfId="0" applyAlignment="1" applyBorder="1" applyFont="1">
      <alignment horizontal="center" readingOrder="0" shrinkToFit="0" vertical="center" wrapText="1"/>
    </xf>
    <xf borderId="0" fillId="23" fontId="5" numFmtId="0" xfId="0" applyAlignment="1" applyFont="1">
      <alignment horizontal="center" readingOrder="0" shrinkToFit="0" vertical="center" wrapText="1"/>
    </xf>
    <xf borderId="47" fillId="48" fontId="52" numFmtId="0" xfId="0" applyAlignment="1" applyBorder="1" applyFont="1">
      <alignment horizontal="center" readingOrder="0" shrinkToFit="0" vertical="center" wrapText="1"/>
    </xf>
    <xf borderId="47" fillId="24" fontId="45" numFmtId="0" xfId="0" applyAlignment="1" applyBorder="1" applyFont="1">
      <alignment horizontal="center" readingOrder="0" shrinkToFit="0" vertical="center" wrapText="1"/>
    </xf>
    <xf borderId="40" fillId="23" fontId="5" numFmtId="0" xfId="0" applyAlignment="1" applyBorder="1" applyFont="1">
      <alignment horizontal="center" readingOrder="0" shrinkToFit="0" vertical="center" wrapText="1"/>
    </xf>
    <xf borderId="47" fillId="58" fontId="45" numFmtId="0" xfId="0" applyAlignment="1" applyBorder="1" applyFont="1">
      <alignment horizontal="center" readingOrder="0" shrinkToFit="0" vertical="center" wrapText="1"/>
    </xf>
    <xf borderId="47" fillId="75" fontId="51" numFmtId="0" xfId="0" applyAlignment="1" applyBorder="1" applyFill="1" applyFont="1">
      <alignment horizontal="center" readingOrder="0" shrinkToFit="0" vertical="center" wrapText="1"/>
    </xf>
    <xf borderId="35" fillId="25" fontId="5" numFmtId="0" xfId="0" applyAlignment="1" applyBorder="1" applyFont="1">
      <alignment horizontal="center" readingOrder="0" shrinkToFit="0" vertical="center" wrapText="1"/>
    </xf>
    <xf borderId="16" fillId="42" fontId="54" numFmtId="0" xfId="0" applyAlignment="1" applyBorder="1" applyFont="1">
      <alignment horizontal="center" readingOrder="0" shrinkToFit="0" vertical="center" wrapText="1"/>
    </xf>
    <xf borderId="41" fillId="42" fontId="54" numFmtId="0" xfId="0" applyAlignment="1" applyBorder="1" applyFont="1">
      <alignment horizontal="center" readingOrder="0" shrinkToFit="0" vertical="center" wrapText="1"/>
    </xf>
    <xf borderId="42" fillId="46" fontId="55" numFmtId="0" xfId="0" applyAlignment="1" applyBorder="1" applyFont="1">
      <alignment horizontal="center" readingOrder="0" shrinkToFit="0" vertical="center" wrapText="1"/>
    </xf>
    <xf borderId="16" fillId="46" fontId="55" numFmtId="0" xfId="0" applyAlignment="1" applyBorder="1" applyFont="1">
      <alignment horizontal="center" readingOrder="0" shrinkToFit="0" vertical="center" wrapText="1"/>
    </xf>
    <xf borderId="41" fillId="46" fontId="55" numFmtId="0" xfId="0" applyAlignment="1" applyBorder="1" applyFont="1">
      <alignment horizontal="center" readingOrder="0" shrinkToFit="0" vertical="center" wrapText="1"/>
    </xf>
    <xf borderId="42" fillId="49" fontId="54" numFmtId="0" xfId="0" applyAlignment="1" applyBorder="1" applyFont="1">
      <alignment horizontal="center" readingOrder="0" shrinkToFit="0" vertical="center" wrapText="1"/>
    </xf>
    <xf borderId="16" fillId="49" fontId="54" numFmtId="0" xfId="0" applyAlignment="1" applyBorder="1" applyFont="1">
      <alignment horizontal="center" readingOrder="0" shrinkToFit="0" vertical="center" wrapText="1"/>
    </xf>
    <xf borderId="41" fillId="49" fontId="54" numFmtId="0" xfId="0" applyAlignment="1" applyBorder="1" applyFont="1">
      <alignment horizontal="center" readingOrder="0" shrinkToFit="0" vertical="center" wrapText="1"/>
    </xf>
    <xf borderId="0" fillId="25" fontId="5" numFmtId="0" xfId="0" applyAlignment="1" applyFont="1">
      <alignment horizontal="center" readingOrder="0" shrinkToFit="0" vertical="center" wrapText="1"/>
    </xf>
    <xf borderId="42" fillId="50" fontId="5" numFmtId="0" xfId="0" applyAlignment="1" applyBorder="1" applyFont="1">
      <alignment horizontal="center" readingOrder="0" shrinkToFit="0" vertical="center" wrapText="1"/>
    </xf>
    <xf borderId="16" fillId="50" fontId="5" numFmtId="0" xfId="0" applyAlignment="1" applyBorder="1" applyFont="1">
      <alignment horizontal="center" readingOrder="0" shrinkToFit="0" vertical="center" wrapText="1"/>
    </xf>
    <xf borderId="41" fillId="50" fontId="5" numFmtId="0" xfId="0" applyAlignment="1" applyBorder="1" applyFont="1">
      <alignment horizontal="center" readingOrder="0" shrinkToFit="0" vertical="center" wrapText="1"/>
    </xf>
    <xf borderId="42" fillId="59" fontId="5" numFmtId="0" xfId="0" applyAlignment="1" applyBorder="1" applyFont="1">
      <alignment horizontal="center" readingOrder="0" shrinkToFit="0" vertical="center" wrapText="1"/>
    </xf>
    <xf borderId="16" fillId="59" fontId="5" numFmtId="0" xfId="0" applyAlignment="1" applyBorder="1" applyFont="1">
      <alignment horizontal="center" readingOrder="0" shrinkToFit="0" vertical="center" wrapText="1"/>
    </xf>
    <xf borderId="40" fillId="25" fontId="5" numFmtId="0" xfId="0" applyAlignment="1" applyBorder="1" applyFont="1">
      <alignment horizontal="center" readingOrder="0" shrinkToFit="0" vertical="center" wrapText="1"/>
    </xf>
    <xf borderId="41" fillId="59" fontId="5" numFmtId="0" xfId="0" applyAlignment="1" applyBorder="1" applyFont="1">
      <alignment horizontal="center" readingOrder="0" shrinkToFit="0" vertical="center" wrapText="1"/>
    </xf>
    <xf borderId="42" fillId="67" fontId="55" numFmtId="0" xfId="0" applyAlignment="1" applyBorder="1" applyFont="1">
      <alignment horizontal="center" readingOrder="0" shrinkToFit="0" vertical="center" wrapText="1"/>
    </xf>
    <xf borderId="16" fillId="67" fontId="55" numFmtId="0" xfId="0" applyAlignment="1" applyBorder="1" applyFont="1">
      <alignment horizontal="center" readingOrder="0" shrinkToFit="0" vertical="center" wrapText="1"/>
    </xf>
    <xf borderId="41" fillId="67" fontId="55" numFmtId="0" xfId="0" applyAlignment="1" applyBorder="1" applyFont="1">
      <alignment horizontal="center" readingOrder="0" shrinkToFit="0" vertical="center" wrapText="1"/>
    </xf>
    <xf borderId="45" fillId="51" fontId="52" numFmtId="0" xfId="0" applyAlignment="1" applyBorder="1" applyFont="1">
      <alignment horizontal="center" readingOrder="0" shrinkToFit="0" vertical="center" wrapText="1"/>
    </xf>
    <xf borderId="47" fillId="55" fontId="51" numFmtId="0" xfId="0" applyAlignment="1" applyBorder="1" applyFont="1">
      <alignment horizontal="center" readingOrder="0" shrinkToFit="0" vertical="center" wrapText="1"/>
    </xf>
    <xf borderId="47" fillId="64" fontId="52" numFmtId="0" xfId="0" applyAlignment="1" applyBorder="1" applyFont="1">
      <alignment horizontal="center" readingOrder="0" shrinkToFit="0" vertical="center" wrapText="1"/>
    </xf>
    <xf borderId="47" fillId="53" fontId="51" numFmtId="0" xfId="0" applyAlignment="1" applyBorder="1" applyFont="1">
      <alignment horizontal="center" readingOrder="0" shrinkToFit="0" vertical="center" wrapText="1"/>
    </xf>
    <xf borderId="47" fillId="62" fontId="51" numFmtId="0" xfId="0" applyAlignment="1" applyBorder="1" applyFont="1">
      <alignment horizontal="center" readingOrder="0" shrinkToFit="0" vertical="center" wrapText="1"/>
    </xf>
    <xf borderId="47" fillId="8" fontId="45" numFmtId="0" xfId="0" applyAlignment="1" applyBorder="1" applyFont="1">
      <alignment horizontal="center" readingOrder="0" shrinkToFit="0" vertical="center" wrapText="1"/>
    </xf>
    <xf borderId="16" fillId="52" fontId="54" numFmtId="0" xfId="0" applyAlignment="1" applyBorder="1" applyFont="1">
      <alignment horizontal="center" readingOrder="0" shrinkToFit="0" vertical="center" wrapText="1"/>
    </xf>
    <xf borderId="41" fillId="52" fontId="54" numFmtId="0" xfId="0" applyAlignment="1" applyBorder="1" applyFont="1">
      <alignment horizontal="center" readingOrder="0" shrinkToFit="0" vertical="center" wrapText="1"/>
    </xf>
    <xf borderId="42" fillId="57" fontId="55" numFmtId="0" xfId="0" applyAlignment="1" applyBorder="1" applyFont="1">
      <alignment horizontal="center" readingOrder="0" shrinkToFit="0" vertical="center" wrapText="1"/>
    </xf>
    <xf borderId="16" fillId="57" fontId="55" numFmtId="0" xfId="0" applyAlignment="1" applyBorder="1" applyFont="1">
      <alignment horizontal="center" readingOrder="0" shrinkToFit="0" vertical="center" wrapText="1"/>
    </xf>
    <xf borderId="41" fillId="57" fontId="55" numFmtId="0" xfId="0" applyAlignment="1" applyBorder="1" applyFont="1">
      <alignment horizontal="center" readingOrder="0" shrinkToFit="0" vertical="center" wrapText="1"/>
    </xf>
    <xf borderId="42" fillId="66" fontId="54" numFmtId="0" xfId="0" applyAlignment="1" applyBorder="1" applyFont="1">
      <alignment horizontal="center" readingOrder="0" shrinkToFit="0" vertical="center" wrapText="1"/>
    </xf>
    <xf borderId="16" fillId="66" fontId="54" numFmtId="0" xfId="0" applyAlignment="1" applyBorder="1" applyFont="1">
      <alignment horizontal="center" readingOrder="0" shrinkToFit="0" vertical="center" wrapText="1"/>
    </xf>
    <xf borderId="41" fillId="66" fontId="54" numFmtId="0" xfId="0" applyAlignment="1" applyBorder="1" applyFont="1">
      <alignment horizontal="center" readingOrder="0" shrinkToFit="0" vertical="center" wrapText="1"/>
    </xf>
    <xf borderId="42" fillId="7" fontId="55" numFmtId="0" xfId="0" applyAlignment="1" applyBorder="1" applyFont="1">
      <alignment horizontal="center" readingOrder="0" shrinkToFit="0" vertical="center" wrapText="1"/>
    </xf>
    <xf borderId="16" fillId="7" fontId="55" numFmtId="0" xfId="0" applyAlignment="1" applyBorder="1" applyFont="1">
      <alignment horizontal="center" readingOrder="0" shrinkToFit="0" vertical="center" wrapText="1"/>
    </xf>
    <xf borderId="41" fillId="7" fontId="55" numFmtId="0" xfId="0" applyAlignment="1" applyBorder="1" applyFont="1">
      <alignment horizontal="center" readingOrder="0" shrinkToFit="0" vertical="center" wrapText="1"/>
    </xf>
    <xf borderId="42" fillId="63" fontId="55" numFmtId="0" xfId="0" applyAlignment="1" applyBorder="1" applyFont="1">
      <alignment horizontal="center" readingOrder="0" shrinkToFit="0" vertical="center" wrapText="1"/>
    </xf>
    <xf borderId="16" fillId="63" fontId="55" numFmtId="0" xfId="0" applyAlignment="1" applyBorder="1" applyFont="1">
      <alignment horizontal="center" readingOrder="0" shrinkToFit="0" vertical="center" wrapText="1"/>
    </xf>
    <xf borderId="41" fillId="63" fontId="55" numFmtId="0" xfId="0" applyAlignment="1" applyBorder="1" applyFont="1">
      <alignment horizontal="center" readingOrder="0" shrinkToFit="0" vertical="center" wrapText="1"/>
    </xf>
    <xf borderId="42" fillId="10" fontId="5" numFmtId="0" xfId="0" applyAlignment="1" applyBorder="1" applyFont="1">
      <alignment horizontal="center" readingOrder="0" shrinkToFit="0" vertical="center" wrapText="1"/>
    </xf>
    <xf borderId="16" fillId="10" fontId="5" numFmtId="0" xfId="0" applyAlignment="1" applyBorder="1" applyFont="1">
      <alignment horizontal="center" readingOrder="0" shrinkToFit="0" vertical="center" wrapText="1"/>
    </xf>
    <xf borderId="41" fillId="10" fontId="5" numFmtId="0" xfId="0" applyAlignment="1" applyBorder="1" applyFont="1">
      <alignment horizontal="center" readingOrder="0" shrinkToFit="0" vertical="center" wrapText="1"/>
    </xf>
    <xf borderId="45" fillId="54" fontId="56" numFmtId="0" xfId="0" applyAlignment="1" applyBorder="1" applyFont="1">
      <alignment horizontal="center" shrinkToFit="0" vertical="center" wrapText="1"/>
    </xf>
    <xf borderId="47" fillId="60" fontId="51" numFmtId="0" xfId="0" applyAlignment="1" applyBorder="1" applyFont="1">
      <alignment horizontal="center" readingOrder="0" shrinkToFit="0" vertical="center" wrapText="1"/>
    </xf>
    <xf borderId="47" fillId="69" fontId="51" numFmtId="0" xfId="0" applyAlignment="1" applyBorder="1" applyFont="1">
      <alignment horizontal="center" readingOrder="0" shrinkToFit="0" vertical="center" wrapText="1"/>
    </xf>
    <xf borderId="47" fillId="0" fontId="5" numFmtId="0" xfId="0" applyAlignment="1" applyBorder="1" applyFont="1">
      <alignment horizontal="center" vertical="center"/>
    </xf>
    <xf borderId="49" fillId="56" fontId="29" numFmtId="0" xfId="0" applyAlignment="1" applyBorder="1" applyFont="1">
      <alignment horizontal="center" readingOrder="0" shrinkToFit="0" vertical="center" wrapText="1"/>
    </xf>
    <xf borderId="49" fillId="56" fontId="29" numFmtId="0" xfId="0" applyAlignment="1" applyBorder="1" applyFont="1">
      <alignment horizontal="center" shrinkToFit="0" vertical="center" wrapText="1"/>
    </xf>
    <xf borderId="50" fillId="56" fontId="29" numFmtId="0" xfId="0" applyAlignment="1" applyBorder="1" applyFont="1">
      <alignment horizontal="center" shrinkToFit="0" vertical="center" wrapText="1"/>
    </xf>
    <xf borderId="51" fillId="61" fontId="55" numFmtId="0" xfId="0" applyAlignment="1" applyBorder="1" applyFont="1">
      <alignment horizontal="center" readingOrder="0" shrinkToFit="0" vertical="center" wrapText="1"/>
    </xf>
    <xf borderId="49" fillId="61" fontId="55" numFmtId="0" xfId="0" applyAlignment="1" applyBorder="1" applyFont="1">
      <alignment horizontal="center" readingOrder="0" shrinkToFit="0" vertical="center" wrapText="1"/>
    </xf>
    <xf borderId="50" fillId="61" fontId="55" numFmtId="0" xfId="0" applyAlignment="1" applyBorder="1" applyFont="1">
      <alignment horizontal="center" readingOrder="0" shrinkToFit="0" vertical="center" wrapText="1"/>
    </xf>
    <xf borderId="51" fillId="68" fontId="55" numFmtId="0" xfId="0" applyAlignment="1" applyBorder="1" applyFont="1">
      <alignment horizontal="center" readingOrder="0" shrinkToFit="0" vertical="center" wrapText="1"/>
    </xf>
    <xf borderId="49" fillId="68" fontId="55" numFmtId="0" xfId="0" applyAlignment="1" applyBorder="1" applyFont="1">
      <alignment horizontal="center" readingOrder="0" shrinkToFit="0" vertical="center" wrapText="1"/>
    </xf>
    <xf borderId="50" fillId="68" fontId="55" numFmtId="0" xfId="0" applyAlignment="1" applyBorder="1" applyFont="1">
      <alignment horizontal="center" readingOrder="0" shrinkToFit="0" vertical="center" wrapText="1"/>
    </xf>
    <xf borderId="51" fillId="15" fontId="9" numFmtId="0" xfId="0" applyAlignment="1" applyBorder="1" applyFont="1">
      <alignment horizontal="center" readingOrder="0" shrinkToFit="0" vertical="center" wrapText="1"/>
    </xf>
    <xf borderId="49" fillId="15" fontId="9" numFmtId="0" xfId="0" applyAlignment="1" applyBorder="1" applyFont="1">
      <alignment horizontal="center" readingOrder="0" shrinkToFit="0" vertical="center" wrapText="1"/>
    </xf>
    <xf borderId="50" fillId="15" fontId="9" numFmtId="0" xfId="0" applyAlignment="1" applyBorder="1" applyFont="1">
      <alignment horizontal="center" readingOrder="0" shrinkToFit="0" vertical="center" wrapText="1"/>
    </xf>
    <xf borderId="51" fillId="0" fontId="5" numFmtId="0" xfId="0" applyAlignment="1" applyBorder="1" applyFont="1">
      <alignment horizontal="center" vertical="center"/>
    </xf>
    <xf borderId="49" fillId="0" fontId="5" numFmtId="0" xfId="0" applyAlignment="1" applyBorder="1" applyFont="1">
      <alignment horizontal="center" vertical="center"/>
    </xf>
    <xf borderId="49" fillId="0" fontId="5" numFmtId="0" xfId="0" applyAlignment="1" applyBorder="1" applyFont="1">
      <alignment horizontal="center" readingOrder="0" vertical="center"/>
    </xf>
    <xf borderId="50" fillId="0" fontId="5" numFmtId="0" xfId="0" applyAlignment="1" applyBorder="1" applyFont="1">
      <alignment horizontal="center" vertical="center"/>
    </xf>
    <xf borderId="52" fillId="15" fontId="5" numFmtId="0" xfId="0" applyAlignment="1" applyBorder="1" applyFont="1">
      <alignment horizontal="center" readingOrder="0" shrinkToFit="0" vertical="center" wrapText="1"/>
    </xf>
    <xf borderId="52" fillId="14" fontId="5" numFmtId="0" xfId="0" applyAlignment="1" applyBorder="1" applyFont="1">
      <alignment horizontal="center" readingOrder="0" shrinkToFit="0" vertical="center" wrapText="1"/>
    </xf>
    <xf borderId="53" fillId="14" fontId="5" numFmtId="0" xfId="0" applyAlignment="1" applyBorder="1" applyFont="1">
      <alignment horizontal="center" readingOrder="0" shrinkToFit="0" vertical="center" wrapText="1"/>
    </xf>
    <xf borderId="54" fillId="14" fontId="5" numFmtId="0" xfId="0" applyAlignment="1" applyBorder="1" applyFont="1">
      <alignment horizontal="center" readingOrder="0" shrinkToFit="0" vertical="center" wrapText="1"/>
    </xf>
    <xf borderId="52" fillId="17" fontId="5" numFmtId="0" xfId="0" applyAlignment="1" applyBorder="1" applyFont="1">
      <alignment horizontal="center" readingOrder="0" shrinkToFit="0" vertical="center" wrapText="1"/>
    </xf>
    <xf borderId="53" fillId="17" fontId="5" numFmtId="0" xfId="0" applyAlignment="1" applyBorder="1" applyFont="1">
      <alignment horizontal="center" readingOrder="0" shrinkToFit="0" vertical="center" wrapText="1"/>
    </xf>
    <xf borderId="54" fillId="17" fontId="5" numFmtId="0" xfId="0" applyAlignment="1" applyBorder="1" applyFont="1">
      <alignment horizontal="center" readingOrder="0" shrinkToFit="0" vertical="center" wrapText="1"/>
    </xf>
    <xf borderId="52" fillId="19" fontId="5" numFmtId="0" xfId="0" applyAlignment="1" applyBorder="1" applyFont="1">
      <alignment horizontal="center" readingOrder="0" shrinkToFit="0" vertical="center" wrapText="1"/>
    </xf>
    <xf borderId="53" fillId="19" fontId="5" numFmtId="0" xfId="0" applyAlignment="1" applyBorder="1" applyFont="1">
      <alignment horizontal="center" readingOrder="0" shrinkToFit="0" vertical="center" wrapText="1"/>
    </xf>
    <xf borderId="54" fillId="19" fontId="5" numFmtId="0" xfId="0" applyAlignment="1" applyBorder="1" applyFont="1">
      <alignment horizontal="center" readingOrder="0" shrinkToFit="0" vertical="center" wrapText="1"/>
    </xf>
    <xf borderId="52" fillId="20" fontId="5" numFmtId="0" xfId="0" applyAlignment="1" applyBorder="1" applyFont="1">
      <alignment horizontal="center" readingOrder="0" shrinkToFit="0" vertical="center" wrapText="1"/>
    </xf>
    <xf borderId="53" fillId="20" fontId="5" numFmtId="0" xfId="0" applyAlignment="1" applyBorder="1" applyFont="1">
      <alignment horizontal="center" readingOrder="0" shrinkToFit="0" vertical="center" wrapText="1"/>
    </xf>
    <xf borderId="54" fillId="20" fontId="5" numFmtId="0" xfId="0" applyAlignment="1" applyBorder="1" applyFont="1">
      <alignment horizontal="center" readingOrder="0" shrinkToFit="0" vertical="center" wrapText="1"/>
    </xf>
    <xf borderId="52" fillId="23" fontId="5" numFmtId="0" xfId="0" applyAlignment="1" applyBorder="1" applyFont="1">
      <alignment horizontal="center" readingOrder="0" shrinkToFit="0" vertical="center" wrapText="1"/>
    </xf>
    <xf borderId="53" fillId="23" fontId="5" numFmtId="0" xfId="0" applyAlignment="1" applyBorder="1" applyFont="1">
      <alignment horizontal="center" readingOrder="0" shrinkToFit="0" vertical="center" wrapText="1"/>
    </xf>
    <xf borderId="54" fillId="23" fontId="5" numFmtId="0" xfId="0" applyAlignment="1" applyBorder="1" applyFont="1">
      <alignment horizontal="center" readingOrder="0" shrinkToFit="0" vertical="center" wrapText="1"/>
    </xf>
    <xf borderId="52" fillId="25" fontId="5" numFmtId="0" xfId="0" applyAlignment="1" applyBorder="1" applyFont="1">
      <alignment horizontal="center" readingOrder="0" shrinkToFit="0" vertical="center" wrapText="1"/>
    </xf>
    <xf borderId="53" fillId="25" fontId="5" numFmtId="0" xfId="0" applyAlignment="1" applyBorder="1" applyFont="1">
      <alignment horizontal="center" readingOrder="0" shrinkToFit="0" vertical="center" wrapText="1"/>
    </xf>
    <xf borderId="54" fillId="25" fontId="5" numFmtId="0" xfId="0" applyAlignment="1" applyBorder="1" applyFont="1">
      <alignment horizontal="center" readingOrder="0" shrinkToFit="0" vertical="center" wrapText="1"/>
    </xf>
    <xf borderId="29" fillId="15" fontId="50" numFmtId="0" xfId="0" applyAlignment="1" applyBorder="1" applyFont="1">
      <alignment horizontal="center" readingOrder="0" shrinkToFit="0" vertical="center" wrapText="1"/>
    </xf>
    <xf borderId="29" fillId="72" fontId="45" numFmtId="0" xfId="0" applyAlignment="1" applyBorder="1" applyFont="1">
      <alignment horizontal="center" readingOrder="0" shrinkToFit="0" vertical="center" wrapText="1"/>
    </xf>
    <xf borderId="29" fillId="3" fontId="53" numFmtId="0" xfId="0" applyAlignment="1" applyBorder="1" applyFont="1">
      <alignment horizontal="center" readingOrder="0" shrinkToFit="0" vertical="center" wrapText="1"/>
    </xf>
    <xf borderId="29" fillId="31" fontId="45" numFmtId="0" xfId="0" applyAlignment="1" applyBorder="1" applyFont="1">
      <alignment horizontal="center" readingOrder="0" shrinkToFit="0" vertical="center" wrapText="1"/>
    </xf>
    <xf borderId="29" fillId="23" fontId="52" numFmtId="0" xfId="0" applyAlignment="1" applyBorder="1" applyFont="1">
      <alignment horizontal="center" readingOrder="0" shrinkToFit="0" vertical="center" wrapText="1"/>
    </xf>
    <xf borderId="29" fillId="32" fontId="53" numFmtId="0" xfId="0" applyAlignment="1" applyBorder="1" applyFont="1">
      <alignment horizontal="center" readingOrder="0" shrinkToFit="0" vertical="center" wrapText="1"/>
    </xf>
    <xf borderId="29" fillId="35" fontId="45" numFmtId="0" xfId="0" applyAlignment="1" applyBorder="1" applyFont="1">
      <alignment horizontal="center" readingOrder="0" shrinkToFit="0" vertical="center" wrapText="1"/>
    </xf>
    <xf borderId="35" fillId="15" fontId="54" numFmtId="0" xfId="0" applyAlignment="1" applyBorder="1" applyFont="1">
      <alignment horizontal="center" readingOrder="0" shrinkToFit="0" vertical="center" wrapText="1"/>
    </xf>
    <xf borderId="35" fillId="18" fontId="5" numFmtId="0" xfId="0" applyAlignment="1" applyBorder="1" applyFont="1">
      <alignment horizontal="center" readingOrder="0" shrinkToFit="0" vertical="center" wrapText="1"/>
    </xf>
    <xf borderId="0" fillId="18" fontId="5" numFmtId="0" xfId="0" applyAlignment="1" applyFont="1">
      <alignment horizontal="center" readingOrder="0" shrinkToFit="0" vertical="center" wrapText="1"/>
    </xf>
    <xf borderId="40" fillId="18" fontId="5" numFmtId="0" xfId="0" applyAlignment="1" applyBorder="1" applyFont="1">
      <alignment horizontal="center" readingOrder="0" shrinkToFit="0" vertical="center" wrapText="1"/>
    </xf>
    <xf borderId="35" fillId="28" fontId="9" numFmtId="0" xfId="0" applyAlignment="1" applyBorder="1" applyFont="1">
      <alignment horizontal="center" readingOrder="0" shrinkToFit="0" vertical="center" wrapText="1"/>
    </xf>
    <xf borderId="0" fillId="28" fontId="9" numFmtId="0" xfId="0" applyAlignment="1" applyFont="1">
      <alignment horizontal="center" readingOrder="0" shrinkToFit="0" vertical="center" wrapText="1"/>
    </xf>
    <xf borderId="40" fillId="28" fontId="9" numFmtId="0" xfId="0" applyAlignment="1" applyBorder="1" applyFont="1">
      <alignment horizontal="center" readingOrder="0" shrinkToFit="0" vertical="center" wrapText="1"/>
    </xf>
    <xf borderId="35" fillId="27" fontId="54" numFmtId="0" xfId="0" applyAlignment="1" applyBorder="1" applyFont="1">
      <alignment horizontal="center" readingOrder="0" shrinkToFit="0" vertical="center" wrapText="1"/>
    </xf>
    <xf borderId="0" fillId="27" fontId="54" numFmtId="0" xfId="0" applyAlignment="1" applyFont="1">
      <alignment horizontal="center" readingOrder="0" shrinkToFit="0" vertical="center" wrapText="1"/>
    </xf>
    <xf borderId="40" fillId="27" fontId="54" numFmtId="0" xfId="0" applyAlignment="1" applyBorder="1" applyFont="1">
      <alignment horizontal="center" readingOrder="0" shrinkToFit="0" vertical="center" wrapText="1"/>
    </xf>
    <xf borderId="35" fillId="30" fontId="9" numFmtId="0" xfId="0" applyAlignment="1" applyBorder="1" applyFont="1">
      <alignment horizontal="center" readingOrder="0" shrinkToFit="0" vertical="center" wrapText="1"/>
    </xf>
    <xf borderId="0" fillId="30" fontId="9" numFmtId="0" xfId="0" applyAlignment="1" applyFont="1">
      <alignment horizontal="center" readingOrder="0" shrinkToFit="0" vertical="center" wrapText="1"/>
    </xf>
    <xf borderId="40" fillId="30" fontId="9" numFmtId="0" xfId="0" applyAlignment="1" applyBorder="1" applyFont="1">
      <alignment horizontal="center" readingOrder="0" shrinkToFit="0" vertical="center" wrapText="1"/>
    </xf>
    <xf borderId="35" fillId="73" fontId="5" numFmtId="0" xfId="0" applyAlignment="1" applyBorder="1" applyFont="1">
      <alignment horizontal="center" readingOrder="0" shrinkToFit="0" vertical="center" wrapText="1"/>
    </xf>
    <xf borderId="0" fillId="73" fontId="5" numFmtId="0" xfId="0" applyAlignment="1" applyFont="1">
      <alignment horizontal="center" readingOrder="0" shrinkToFit="0" vertical="center" wrapText="1"/>
    </xf>
    <xf borderId="40" fillId="73" fontId="5" numFmtId="0" xfId="0" applyAlignment="1" applyBorder="1" applyFont="1">
      <alignment horizontal="center" readingOrder="0" shrinkToFit="0" vertical="center" wrapText="1"/>
    </xf>
    <xf borderId="55" fillId="15" fontId="54" numFmtId="0" xfId="0" applyAlignment="1" applyBorder="1" applyFont="1">
      <alignment horizontal="center" readingOrder="0" shrinkToFit="0" vertical="center" wrapText="1"/>
    </xf>
    <xf borderId="55" fillId="18" fontId="5" numFmtId="0" xfId="0" applyAlignment="1" applyBorder="1" applyFont="1">
      <alignment horizontal="center" readingOrder="0" shrinkToFit="0" vertical="center" wrapText="1"/>
    </xf>
    <xf borderId="43" fillId="18" fontId="5" numFmtId="0" xfId="0" applyAlignment="1" applyBorder="1" applyFont="1">
      <alignment horizontal="center" readingOrder="0" shrinkToFit="0" vertical="center" wrapText="1"/>
    </xf>
    <xf borderId="56" fillId="18" fontId="5" numFmtId="0" xfId="0" applyAlignment="1" applyBorder="1" applyFont="1">
      <alignment horizontal="center" readingOrder="0" shrinkToFit="0" vertical="center" wrapText="1"/>
    </xf>
    <xf borderId="55" fillId="28" fontId="9" numFmtId="0" xfId="0" applyAlignment="1" applyBorder="1" applyFont="1">
      <alignment horizontal="center" readingOrder="0" shrinkToFit="0" vertical="center" wrapText="1"/>
    </xf>
    <xf borderId="43" fillId="28" fontId="9" numFmtId="0" xfId="0" applyAlignment="1" applyBorder="1" applyFont="1">
      <alignment horizontal="center" readingOrder="0" shrinkToFit="0" vertical="center" wrapText="1"/>
    </xf>
    <xf borderId="56" fillId="28" fontId="9" numFmtId="0" xfId="0" applyAlignment="1" applyBorder="1" applyFont="1">
      <alignment horizontal="center" readingOrder="0" shrinkToFit="0" vertical="center" wrapText="1"/>
    </xf>
    <xf borderId="55" fillId="19" fontId="5" numFmtId="0" xfId="0" applyAlignment="1" applyBorder="1" applyFont="1">
      <alignment horizontal="center" readingOrder="0" shrinkToFit="0" vertical="center" wrapText="1"/>
    </xf>
    <xf borderId="43" fillId="19" fontId="5" numFmtId="0" xfId="0" applyAlignment="1" applyBorder="1" applyFont="1">
      <alignment horizontal="center" readingOrder="0" shrinkToFit="0" vertical="center" wrapText="1"/>
    </xf>
    <xf borderId="56" fillId="19" fontId="5" numFmtId="0" xfId="0" applyAlignment="1" applyBorder="1" applyFont="1">
      <alignment horizontal="center" readingOrder="0" shrinkToFit="0" vertical="center" wrapText="1"/>
    </xf>
    <xf borderId="55" fillId="27" fontId="54" numFmtId="0" xfId="0" applyAlignment="1" applyBorder="1" applyFont="1">
      <alignment horizontal="center" readingOrder="0" shrinkToFit="0" vertical="center" wrapText="1"/>
    </xf>
    <xf borderId="43" fillId="27" fontId="54" numFmtId="0" xfId="0" applyAlignment="1" applyBorder="1" applyFont="1">
      <alignment horizontal="center" readingOrder="0" shrinkToFit="0" vertical="center" wrapText="1"/>
    </xf>
    <xf borderId="56" fillId="27" fontId="54" numFmtId="0" xfId="0" applyAlignment="1" applyBorder="1" applyFont="1">
      <alignment horizontal="center" readingOrder="0" shrinkToFit="0" vertical="center" wrapText="1"/>
    </xf>
    <xf borderId="55" fillId="30" fontId="9" numFmtId="0" xfId="0" applyAlignment="1" applyBorder="1" applyFont="1">
      <alignment horizontal="center" readingOrder="0" shrinkToFit="0" vertical="center" wrapText="1"/>
    </xf>
    <xf borderId="43" fillId="30" fontId="9" numFmtId="0" xfId="0" applyAlignment="1" applyBorder="1" applyFont="1">
      <alignment horizontal="center" readingOrder="0" shrinkToFit="0" vertical="center" wrapText="1"/>
    </xf>
    <xf borderId="56" fillId="30" fontId="9" numFmtId="0" xfId="0" applyAlignment="1" applyBorder="1" applyFont="1">
      <alignment horizontal="center" readingOrder="0" shrinkToFit="0" vertical="center" wrapText="1"/>
    </xf>
    <xf borderId="55" fillId="73" fontId="5" numFmtId="0" xfId="0" applyAlignment="1" applyBorder="1" applyFont="1">
      <alignment horizontal="center" readingOrder="0" shrinkToFit="0" vertical="center" wrapText="1"/>
    </xf>
    <xf borderId="43" fillId="73" fontId="5" numFmtId="0" xfId="0" applyAlignment="1" applyBorder="1" applyFont="1">
      <alignment horizontal="center" readingOrder="0" shrinkToFit="0" vertical="center" wrapText="1"/>
    </xf>
    <xf borderId="56" fillId="73" fontId="5" numFmtId="0" xfId="0" applyAlignment="1" applyBorder="1" applyFont="1">
      <alignment horizontal="center" readingOrder="0" shrinkToFit="0" vertical="center" wrapText="1"/>
    </xf>
    <xf borderId="24" fillId="15" fontId="50" numFmtId="0" xfId="0" applyAlignment="1" applyBorder="1" applyFont="1">
      <alignment horizontal="center" readingOrder="0" shrinkToFit="0" vertical="center" wrapText="1"/>
    </xf>
    <xf borderId="24" fillId="26" fontId="53" numFmtId="0" xfId="0" applyAlignment="1" applyBorder="1" applyFont="1">
      <alignment horizontal="center" readingOrder="0" shrinkToFit="0" vertical="center" wrapText="1"/>
    </xf>
    <xf borderId="25" fillId="0" fontId="5" numFmtId="0" xfId="0" applyBorder="1" applyFont="1"/>
    <xf borderId="27" fillId="0" fontId="5" numFmtId="0" xfId="0" applyBorder="1" applyFont="1"/>
    <xf borderId="24" fillId="39" fontId="53" numFmtId="0" xfId="0" applyAlignment="1" applyBorder="1" applyFont="1">
      <alignment horizontal="center" readingOrder="0" shrinkToFit="0" vertical="center" wrapText="1"/>
    </xf>
    <xf borderId="24" fillId="33" fontId="45" numFmtId="0" xfId="0" applyAlignment="1" applyBorder="1" applyFont="1">
      <alignment horizontal="center" readingOrder="0" shrinkToFit="0" vertical="center" wrapText="1"/>
    </xf>
    <xf borderId="24" fillId="40" fontId="53" numFmtId="0" xfId="0" applyAlignment="1" applyBorder="1" applyFont="1">
      <alignment horizontal="center" readingOrder="0" shrinkToFit="0" vertical="center" wrapText="1"/>
    </xf>
    <xf borderId="24" fillId="76" fontId="53" numFmtId="0" xfId="0" applyAlignment="1" applyBorder="1" applyFill="1" applyFont="1">
      <alignment horizontal="center" readingOrder="0" shrinkToFit="0" vertical="center" wrapText="1"/>
    </xf>
    <xf borderId="24" fillId="47" fontId="53" numFmtId="0" xfId="0" applyAlignment="1" applyBorder="1" applyFont="1">
      <alignment horizontal="center" readingOrder="0" shrinkToFit="0" vertical="center" wrapText="1"/>
    </xf>
    <xf borderId="35" fillId="74" fontId="9" numFmtId="0" xfId="0" applyAlignment="1" applyBorder="1" applyFont="1">
      <alignment horizontal="center" readingOrder="0" shrinkToFit="0" vertical="center" wrapText="1"/>
    </xf>
    <xf borderId="0" fillId="74" fontId="9" numFmtId="0" xfId="0" applyAlignment="1" applyFont="1">
      <alignment horizontal="center" readingOrder="0" shrinkToFit="0" vertical="center" wrapText="1"/>
    </xf>
    <xf borderId="40" fillId="74" fontId="9" numFmtId="0" xfId="0" applyAlignment="1" applyBorder="1" applyFont="1">
      <alignment horizontal="center" readingOrder="0" shrinkToFit="0" vertical="center" wrapText="1"/>
    </xf>
    <xf borderId="35" fillId="37" fontId="9" numFmtId="0" xfId="0" applyAlignment="1" applyBorder="1" applyFont="1">
      <alignment horizontal="center" readingOrder="0" shrinkToFit="0" vertical="center" wrapText="1"/>
    </xf>
    <xf borderId="0" fillId="37" fontId="9" numFmtId="0" xfId="0" applyAlignment="1" applyFont="1">
      <alignment horizontal="center" readingOrder="0" shrinkToFit="0" vertical="center" wrapText="1"/>
    </xf>
    <xf borderId="40" fillId="37" fontId="9" numFmtId="0" xfId="0" applyAlignment="1" applyBorder="1" applyFont="1">
      <alignment horizontal="center" readingOrder="0" shrinkToFit="0" vertical="center" wrapText="1"/>
    </xf>
    <xf borderId="35" fillId="34" fontId="5" numFmtId="0" xfId="0" applyAlignment="1" applyBorder="1" applyFont="1">
      <alignment horizontal="center" readingOrder="0" shrinkToFit="0" vertical="center" wrapText="1"/>
    </xf>
    <xf borderId="0" fillId="34" fontId="5" numFmtId="0" xfId="0" applyAlignment="1" applyFont="1">
      <alignment horizontal="center" readingOrder="0" shrinkToFit="0" vertical="center" wrapText="1"/>
    </xf>
    <xf borderId="40" fillId="34" fontId="5" numFmtId="0" xfId="0" applyAlignment="1" applyBorder="1" applyFont="1">
      <alignment horizontal="center" readingOrder="0" shrinkToFit="0" vertical="center" wrapText="1"/>
    </xf>
    <xf borderId="35" fillId="38" fontId="9" numFmtId="0" xfId="0" applyAlignment="1" applyBorder="1" applyFont="1">
      <alignment horizontal="center" readingOrder="0" shrinkToFit="0" vertical="center" wrapText="1"/>
    </xf>
    <xf borderId="0" fillId="38" fontId="9" numFmtId="0" xfId="0" applyAlignment="1" applyFont="1">
      <alignment horizontal="center" readingOrder="0" shrinkToFit="0" vertical="center" wrapText="1"/>
    </xf>
    <xf borderId="40" fillId="38" fontId="9" numFmtId="0" xfId="0" applyAlignment="1" applyBorder="1" applyFont="1">
      <alignment horizontal="center" readingOrder="0" shrinkToFit="0" vertical="center" wrapText="1"/>
    </xf>
    <xf borderId="35" fillId="44" fontId="9" numFmtId="0" xfId="0" applyAlignment="1" applyBorder="1" applyFont="1">
      <alignment horizontal="center" readingOrder="0" shrinkToFit="0" vertical="center" wrapText="1"/>
    </xf>
    <xf borderId="0" fillId="44" fontId="9" numFmtId="0" xfId="0" applyAlignment="1" applyFont="1">
      <alignment horizontal="center" readingOrder="0" shrinkToFit="0" vertical="center" wrapText="1"/>
    </xf>
    <xf borderId="40" fillId="44" fontId="9" numFmtId="0" xfId="0" applyAlignment="1" applyBorder="1" applyFont="1">
      <alignment horizontal="center" readingOrder="0" shrinkToFit="0" vertical="center" wrapText="1"/>
    </xf>
    <xf borderId="35" fillId="43" fontId="9" numFmtId="0" xfId="0" applyAlignment="1" applyBorder="1" applyFont="1">
      <alignment horizontal="center" readingOrder="0" shrinkToFit="0" vertical="center" wrapText="1"/>
    </xf>
    <xf borderId="0" fillId="43" fontId="9" numFmtId="0" xfId="0" applyAlignment="1" applyFont="1">
      <alignment horizontal="center" readingOrder="0" shrinkToFit="0" vertical="center" wrapText="1"/>
    </xf>
    <xf borderId="40" fillId="43" fontId="9" numFmtId="0" xfId="0" applyAlignment="1" applyBorder="1" applyFont="1">
      <alignment horizontal="center" readingOrder="0" shrinkToFit="0" vertical="center" wrapText="1"/>
    </xf>
    <xf borderId="55" fillId="74" fontId="9" numFmtId="0" xfId="0" applyAlignment="1" applyBorder="1" applyFont="1">
      <alignment horizontal="center" readingOrder="0" shrinkToFit="0" vertical="center" wrapText="1"/>
    </xf>
    <xf borderId="43" fillId="74" fontId="9" numFmtId="0" xfId="0" applyAlignment="1" applyBorder="1" applyFont="1">
      <alignment horizontal="center" readingOrder="0" shrinkToFit="0" vertical="center" wrapText="1"/>
    </xf>
    <xf borderId="56" fillId="74" fontId="9" numFmtId="0" xfId="0" applyAlignment="1" applyBorder="1" applyFont="1">
      <alignment horizontal="center" readingOrder="0" shrinkToFit="0" vertical="center" wrapText="1"/>
    </xf>
    <xf borderId="55" fillId="37" fontId="9" numFmtId="0" xfId="0" applyAlignment="1" applyBorder="1" applyFont="1">
      <alignment horizontal="center" readingOrder="0" shrinkToFit="0" vertical="center" wrapText="1"/>
    </xf>
    <xf borderId="43" fillId="37" fontId="9" numFmtId="0" xfId="0" applyAlignment="1" applyBorder="1" applyFont="1">
      <alignment horizontal="center" readingOrder="0" shrinkToFit="0" vertical="center" wrapText="1"/>
    </xf>
    <xf borderId="56" fillId="37" fontId="9" numFmtId="0" xfId="0" applyAlignment="1" applyBorder="1" applyFont="1">
      <alignment horizontal="center" readingOrder="0" shrinkToFit="0" vertical="center" wrapText="1"/>
    </xf>
    <xf borderId="55" fillId="34" fontId="5" numFmtId="0" xfId="0" applyAlignment="1" applyBorder="1" applyFont="1">
      <alignment horizontal="center" readingOrder="0" shrinkToFit="0" vertical="center" wrapText="1"/>
    </xf>
    <xf borderId="43" fillId="34" fontId="5" numFmtId="0" xfId="0" applyAlignment="1" applyBorder="1" applyFont="1">
      <alignment horizontal="center" readingOrder="0" shrinkToFit="0" vertical="center" wrapText="1"/>
    </xf>
    <xf borderId="56" fillId="34" fontId="5" numFmtId="0" xfId="0" applyAlignment="1" applyBorder="1" applyFont="1">
      <alignment horizontal="center" readingOrder="0" shrinkToFit="0" vertical="center" wrapText="1"/>
    </xf>
    <xf borderId="55" fillId="38" fontId="9" numFmtId="0" xfId="0" applyAlignment="1" applyBorder="1" applyFont="1">
      <alignment horizontal="center" readingOrder="0" shrinkToFit="0" vertical="center" wrapText="1"/>
    </xf>
    <xf borderId="43" fillId="38" fontId="9" numFmtId="0" xfId="0" applyAlignment="1" applyBorder="1" applyFont="1">
      <alignment horizontal="center" readingOrder="0" shrinkToFit="0" vertical="center" wrapText="1"/>
    </xf>
    <xf borderId="56" fillId="38" fontId="9" numFmtId="0" xfId="0" applyAlignment="1" applyBorder="1" applyFont="1">
      <alignment horizontal="center" readingOrder="0" shrinkToFit="0" vertical="center" wrapText="1"/>
    </xf>
    <xf borderId="55" fillId="44" fontId="9" numFmtId="0" xfId="0" applyAlignment="1" applyBorder="1" applyFont="1">
      <alignment horizontal="center" readingOrder="0" shrinkToFit="0" vertical="center" wrapText="1"/>
    </xf>
    <xf borderId="43" fillId="44" fontId="9" numFmtId="0" xfId="0" applyAlignment="1" applyBorder="1" applyFont="1">
      <alignment horizontal="center" readingOrder="0" shrinkToFit="0" vertical="center" wrapText="1"/>
    </xf>
    <xf borderId="56" fillId="44" fontId="9" numFmtId="0" xfId="0" applyAlignment="1" applyBorder="1" applyFont="1">
      <alignment horizontal="center" readingOrder="0" shrinkToFit="0" vertical="center" wrapText="1"/>
    </xf>
    <xf borderId="55" fillId="43" fontId="9" numFmtId="0" xfId="0" applyAlignment="1" applyBorder="1" applyFont="1">
      <alignment horizontal="center" readingOrder="0" shrinkToFit="0" vertical="center" wrapText="1"/>
    </xf>
    <xf borderId="43" fillId="43" fontId="9" numFmtId="0" xfId="0" applyAlignment="1" applyBorder="1" applyFont="1">
      <alignment horizontal="center" readingOrder="0" shrinkToFit="0" vertical="center" wrapText="1"/>
    </xf>
    <xf borderId="56" fillId="43" fontId="9" numFmtId="0" xfId="0" applyAlignment="1" applyBorder="1" applyFont="1">
      <alignment horizontal="center" readingOrder="0" shrinkToFit="0" vertical="center" wrapText="1"/>
    </xf>
    <xf borderId="24" fillId="41" fontId="52" numFmtId="0" xfId="0" applyAlignment="1" applyBorder="1" applyFont="1">
      <alignment horizontal="center" readingOrder="0" shrinkToFit="0" vertical="center" wrapText="1"/>
    </xf>
    <xf borderId="24" fillId="45" fontId="53" numFmtId="0" xfId="0" applyAlignment="1" applyBorder="1" applyFont="1">
      <alignment horizontal="center" readingOrder="0" shrinkToFit="0" vertical="center" wrapText="1"/>
    </xf>
    <xf borderId="24" fillId="49" fontId="52" numFmtId="0" xfId="0" applyAlignment="1" applyBorder="1" applyFont="1">
      <alignment horizontal="center" readingOrder="0" shrinkToFit="0" vertical="center" wrapText="1"/>
    </xf>
    <xf borderId="24" fillId="50" fontId="45" numFmtId="0" xfId="0" applyAlignment="1" applyBorder="1" applyFont="1">
      <alignment horizontal="center" readingOrder="0" shrinkToFit="0" vertical="center" wrapText="1"/>
    </xf>
    <xf borderId="24" fillId="58" fontId="45" numFmtId="0" xfId="0" applyAlignment="1" applyBorder="1" applyFont="1">
      <alignment horizontal="center" readingOrder="0" shrinkToFit="0" vertical="center" wrapText="1"/>
    </xf>
    <xf borderId="24" fillId="75" fontId="53" numFmtId="0" xfId="0" applyAlignment="1" applyBorder="1" applyFont="1">
      <alignment horizontal="center" readingOrder="0" shrinkToFit="0" vertical="center" wrapText="1"/>
    </xf>
    <xf borderId="35" fillId="42" fontId="54" numFmtId="0" xfId="0" applyAlignment="1" applyBorder="1" applyFont="1">
      <alignment horizontal="center" readingOrder="0" shrinkToFit="0" vertical="center" wrapText="1"/>
    </xf>
    <xf borderId="0" fillId="42" fontId="54" numFmtId="0" xfId="0" applyAlignment="1" applyFont="1">
      <alignment horizontal="center" readingOrder="0" shrinkToFit="0" vertical="center" wrapText="1"/>
    </xf>
    <xf borderId="40" fillId="42" fontId="54" numFmtId="0" xfId="0" applyAlignment="1" applyBorder="1" applyFont="1">
      <alignment horizontal="center" readingOrder="0" shrinkToFit="0" vertical="center" wrapText="1"/>
    </xf>
    <xf borderId="35" fillId="46" fontId="9" numFmtId="0" xfId="0" applyAlignment="1" applyBorder="1" applyFont="1">
      <alignment horizontal="center" readingOrder="0" shrinkToFit="0" vertical="center" wrapText="1"/>
    </xf>
    <xf borderId="0" fillId="46" fontId="9" numFmtId="0" xfId="0" applyAlignment="1" applyFont="1">
      <alignment horizontal="center" readingOrder="0" shrinkToFit="0" vertical="center" wrapText="1"/>
    </xf>
    <xf borderId="40" fillId="46" fontId="9" numFmtId="0" xfId="0" applyAlignment="1" applyBorder="1" applyFont="1">
      <alignment horizontal="center" readingOrder="0" shrinkToFit="0" vertical="center" wrapText="1"/>
    </xf>
    <xf borderId="35" fillId="48" fontId="54" numFmtId="0" xfId="0" applyAlignment="1" applyBorder="1" applyFont="1">
      <alignment horizontal="center" readingOrder="0" shrinkToFit="0" vertical="center" wrapText="1"/>
    </xf>
    <xf borderId="0" fillId="48" fontId="54" numFmtId="0" xfId="0" applyAlignment="1" applyFont="1">
      <alignment horizontal="center" readingOrder="0" shrinkToFit="0" vertical="center" wrapText="1"/>
    </xf>
    <xf borderId="40" fillId="48" fontId="54" numFmtId="0" xfId="0" applyAlignment="1" applyBorder="1" applyFont="1">
      <alignment horizontal="center" readingOrder="0" shrinkToFit="0" vertical="center" wrapText="1"/>
    </xf>
    <xf borderId="35" fillId="24" fontId="5" numFmtId="0" xfId="0" applyAlignment="1" applyBorder="1" applyFont="1">
      <alignment horizontal="center" readingOrder="0" shrinkToFit="0" vertical="center" wrapText="1"/>
    </xf>
    <xf borderId="0" fillId="24" fontId="5" numFmtId="0" xfId="0" applyAlignment="1" applyFont="1">
      <alignment horizontal="center" readingOrder="0" shrinkToFit="0" vertical="center" wrapText="1"/>
    </xf>
    <xf borderId="40" fillId="24" fontId="5" numFmtId="0" xfId="0" applyAlignment="1" applyBorder="1" applyFont="1">
      <alignment horizontal="center" readingOrder="0" shrinkToFit="0" vertical="center" wrapText="1"/>
    </xf>
    <xf borderId="35" fillId="59" fontId="5" numFmtId="0" xfId="0" applyAlignment="1" applyBorder="1" applyFont="1">
      <alignment horizontal="center" readingOrder="0" shrinkToFit="0" vertical="center" wrapText="1"/>
    </xf>
    <xf borderId="0" fillId="59" fontId="5" numFmtId="0" xfId="0" applyAlignment="1" applyFont="1">
      <alignment horizontal="center" readingOrder="0" shrinkToFit="0" vertical="center" wrapText="1"/>
    </xf>
    <xf borderId="40" fillId="59" fontId="5" numFmtId="0" xfId="0" applyAlignment="1" applyBorder="1" applyFont="1">
      <alignment horizontal="center" readingOrder="0" shrinkToFit="0" vertical="center" wrapText="1"/>
    </xf>
    <xf borderId="35" fillId="67" fontId="9" numFmtId="0" xfId="0" applyAlignment="1" applyBorder="1" applyFont="1">
      <alignment horizontal="center" readingOrder="0" shrinkToFit="0" vertical="center" wrapText="1"/>
    </xf>
    <xf borderId="0" fillId="67" fontId="9" numFmtId="0" xfId="0" applyAlignment="1" applyFont="1">
      <alignment horizontal="center" readingOrder="0" shrinkToFit="0" vertical="center" wrapText="1"/>
    </xf>
    <xf borderId="40" fillId="67" fontId="9" numFmtId="0" xfId="0" applyAlignment="1" applyBorder="1" applyFont="1">
      <alignment horizontal="center" readingOrder="0" shrinkToFit="0" vertical="center" wrapText="1"/>
    </xf>
    <xf borderId="55" fillId="42" fontId="54" numFmtId="0" xfId="0" applyAlignment="1" applyBorder="1" applyFont="1">
      <alignment horizontal="center" readingOrder="0" shrinkToFit="0" vertical="center" wrapText="1"/>
    </xf>
    <xf borderId="43" fillId="42" fontId="54" numFmtId="0" xfId="0" applyAlignment="1" applyBorder="1" applyFont="1">
      <alignment horizontal="center" readingOrder="0" shrinkToFit="0" vertical="center" wrapText="1"/>
    </xf>
    <xf borderId="56" fillId="42" fontId="54" numFmtId="0" xfId="0" applyAlignment="1" applyBorder="1" applyFont="1">
      <alignment horizontal="center" readingOrder="0" shrinkToFit="0" vertical="center" wrapText="1"/>
    </xf>
    <xf borderId="55" fillId="46" fontId="9" numFmtId="0" xfId="0" applyAlignment="1" applyBorder="1" applyFont="1">
      <alignment horizontal="center" readingOrder="0" shrinkToFit="0" vertical="center" wrapText="1"/>
    </xf>
    <xf borderId="43" fillId="46" fontId="9" numFmtId="0" xfId="0" applyAlignment="1" applyBorder="1" applyFont="1">
      <alignment horizontal="center" readingOrder="0" shrinkToFit="0" vertical="center" wrapText="1"/>
    </xf>
    <xf borderId="56" fillId="46" fontId="9" numFmtId="0" xfId="0" applyAlignment="1" applyBorder="1" applyFont="1">
      <alignment horizontal="center" readingOrder="0" shrinkToFit="0" vertical="center" wrapText="1"/>
    </xf>
    <xf borderId="55" fillId="48" fontId="54" numFmtId="0" xfId="0" applyAlignment="1" applyBorder="1" applyFont="1">
      <alignment horizontal="center" readingOrder="0" shrinkToFit="0" vertical="center" wrapText="1"/>
    </xf>
    <xf borderId="43" fillId="48" fontId="54" numFmtId="0" xfId="0" applyAlignment="1" applyBorder="1" applyFont="1">
      <alignment horizontal="center" readingOrder="0" shrinkToFit="0" vertical="center" wrapText="1"/>
    </xf>
    <xf borderId="56" fillId="48" fontId="54" numFmtId="0" xfId="0" applyAlignment="1" applyBorder="1" applyFont="1">
      <alignment horizontal="center" readingOrder="0" shrinkToFit="0" vertical="center" wrapText="1"/>
    </xf>
    <xf borderId="55" fillId="24" fontId="5" numFmtId="0" xfId="0" applyAlignment="1" applyBorder="1" applyFont="1">
      <alignment horizontal="center" readingOrder="0" shrinkToFit="0" vertical="center" wrapText="1"/>
    </xf>
    <xf borderId="43" fillId="24" fontId="5" numFmtId="0" xfId="0" applyAlignment="1" applyBorder="1" applyFont="1">
      <alignment horizontal="center" readingOrder="0" shrinkToFit="0" vertical="center" wrapText="1"/>
    </xf>
    <xf borderId="56" fillId="24" fontId="5" numFmtId="0" xfId="0" applyAlignment="1" applyBorder="1" applyFont="1">
      <alignment horizontal="center" readingOrder="0" shrinkToFit="0" vertical="center" wrapText="1"/>
    </xf>
    <xf borderId="55" fillId="59" fontId="5" numFmtId="0" xfId="0" applyAlignment="1" applyBorder="1" applyFont="1">
      <alignment horizontal="center" readingOrder="0" shrinkToFit="0" vertical="center" wrapText="1"/>
    </xf>
    <xf borderId="43" fillId="59" fontId="5" numFmtId="0" xfId="0" applyAlignment="1" applyBorder="1" applyFont="1">
      <alignment horizontal="center" readingOrder="0" shrinkToFit="0" vertical="center" wrapText="1"/>
    </xf>
    <xf borderId="56" fillId="59" fontId="5" numFmtId="0" xfId="0" applyAlignment="1" applyBorder="1" applyFont="1">
      <alignment horizontal="center" readingOrder="0" shrinkToFit="0" vertical="center" wrapText="1"/>
    </xf>
    <xf borderId="55" fillId="67" fontId="9" numFmtId="0" xfId="0" applyAlignment="1" applyBorder="1" applyFont="1">
      <alignment horizontal="center" readingOrder="0" shrinkToFit="0" vertical="center" wrapText="1"/>
    </xf>
    <xf borderId="43" fillId="67" fontId="9" numFmtId="0" xfId="0" applyAlignment="1" applyBorder="1" applyFont="1">
      <alignment horizontal="center" readingOrder="0" shrinkToFit="0" vertical="center" wrapText="1"/>
    </xf>
    <xf borderId="56" fillId="67" fontId="9" numFmtId="0" xfId="0" applyAlignment="1" applyBorder="1" applyFont="1">
      <alignment horizontal="center" readingOrder="0" shrinkToFit="0" vertical="center" wrapText="1"/>
    </xf>
    <xf borderId="24" fillId="51" fontId="52" numFmtId="0" xfId="0" applyAlignment="1" applyBorder="1" applyFont="1">
      <alignment horizontal="center" readingOrder="0" shrinkToFit="0" vertical="center" wrapText="1"/>
    </xf>
    <xf borderId="24" fillId="55" fontId="53" numFmtId="0" xfId="0" applyAlignment="1" applyBorder="1" applyFont="1">
      <alignment horizontal="center" readingOrder="0" shrinkToFit="0" vertical="center" wrapText="1"/>
    </xf>
    <xf borderId="24" fillId="64" fontId="52" numFmtId="0" xfId="0" applyAlignment="1" applyBorder="1" applyFont="1">
      <alignment horizontal="center" readingOrder="0" shrinkToFit="0" vertical="center" wrapText="1"/>
    </xf>
    <xf borderId="24" fillId="7" fontId="53" numFmtId="0" xfId="0" applyAlignment="1" applyBorder="1" applyFont="1">
      <alignment horizontal="center" readingOrder="0" shrinkToFit="0" vertical="center" wrapText="1"/>
    </xf>
    <xf borderId="24" fillId="62" fontId="53" numFmtId="0" xfId="0" applyAlignment="1" applyBorder="1" applyFont="1">
      <alignment horizontal="center" readingOrder="0" shrinkToFit="0" vertical="center" wrapText="1"/>
    </xf>
    <xf borderId="24" fillId="10" fontId="45" numFmtId="0" xfId="0" applyAlignment="1" applyBorder="1" applyFont="1">
      <alignment horizontal="center" readingOrder="0" shrinkToFit="0" vertical="center" wrapText="1"/>
    </xf>
    <xf borderId="35" fillId="52" fontId="54" numFmtId="0" xfId="0" applyAlignment="1" applyBorder="1" applyFont="1">
      <alignment horizontal="center" readingOrder="0" shrinkToFit="0" vertical="center" wrapText="1"/>
    </xf>
    <xf borderId="0" fillId="52" fontId="54" numFmtId="0" xfId="0" applyAlignment="1" applyFont="1">
      <alignment horizontal="center" readingOrder="0" shrinkToFit="0" vertical="center" wrapText="1"/>
    </xf>
    <xf borderId="40" fillId="52" fontId="54" numFmtId="0" xfId="0" applyAlignment="1" applyBorder="1" applyFont="1">
      <alignment horizontal="center" readingOrder="0" shrinkToFit="0" vertical="center" wrapText="1"/>
    </xf>
    <xf borderId="35" fillId="57" fontId="9" numFmtId="0" xfId="0" applyAlignment="1" applyBorder="1" applyFont="1">
      <alignment horizontal="center" readingOrder="0" shrinkToFit="0" vertical="center" wrapText="1"/>
    </xf>
    <xf borderId="0" fillId="57" fontId="9" numFmtId="0" xfId="0" applyAlignment="1" applyFont="1">
      <alignment horizontal="center" readingOrder="0" shrinkToFit="0" vertical="center" wrapText="1"/>
    </xf>
    <xf borderId="40" fillId="57" fontId="9" numFmtId="0" xfId="0" applyAlignment="1" applyBorder="1" applyFont="1">
      <alignment horizontal="center" readingOrder="0" shrinkToFit="0" vertical="center" wrapText="1"/>
    </xf>
    <xf borderId="35" fillId="66" fontId="54" numFmtId="0" xfId="0" applyAlignment="1" applyBorder="1" applyFont="1">
      <alignment horizontal="center" readingOrder="0" shrinkToFit="0" vertical="center" wrapText="1"/>
    </xf>
    <xf borderId="0" fillId="66" fontId="54" numFmtId="0" xfId="0" applyAlignment="1" applyFont="1">
      <alignment horizontal="center" readingOrder="0" shrinkToFit="0" vertical="center" wrapText="1"/>
    </xf>
    <xf borderId="40" fillId="66" fontId="54" numFmtId="0" xfId="0" applyAlignment="1" applyBorder="1" applyFont="1">
      <alignment horizontal="center" readingOrder="0" shrinkToFit="0" vertical="center" wrapText="1"/>
    </xf>
    <xf borderId="35" fillId="53" fontId="9" numFmtId="0" xfId="0" applyAlignment="1" applyBorder="1" applyFont="1">
      <alignment horizontal="center" readingOrder="0" shrinkToFit="0" vertical="center" wrapText="1"/>
    </xf>
    <xf borderId="0" fillId="53" fontId="9" numFmtId="0" xfId="0" applyAlignment="1" applyFont="1">
      <alignment horizontal="center" readingOrder="0" shrinkToFit="0" vertical="center" wrapText="1"/>
    </xf>
    <xf borderId="40" fillId="53" fontId="9" numFmtId="0" xfId="0" applyAlignment="1" applyBorder="1" applyFont="1">
      <alignment horizontal="center" readingOrder="0" shrinkToFit="0" vertical="center" wrapText="1"/>
    </xf>
    <xf borderId="35" fillId="63" fontId="9" numFmtId="0" xfId="0" applyAlignment="1" applyBorder="1" applyFont="1">
      <alignment horizontal="center" readingOrder="0" shrinkToFit="0" vertical="center" wrapText="1"/>
    </xf>
    <xf borderId="0" fillId="63" fontId="9" numFmtId="0" xfId="0" applyAlignment="1" applyFont="1">
      <alignment horizontal="center" readingOrder="0" shrinkToFit="0" vertical="center" wrapText="1"/>
    </xf>
    <xf borderId="40" fillId="63" fontId="9" numFmtId="0" xfId="0" applyAlignment="1" applyBorder="1" applyFont="1">
      <alignment horizontal="center" readingOrder="0" shrinkToFit="0" vertical="center" wrapText="1"/>
    </xf>
    <xf borderId="35" fillId="8" fontId="5" numFmtId="0" xfId="0" applyAlignment="1" applyBorder="1" applyFont="1">
      <alignment horizontal="center" readingOrder="0" shrinkToFit="0" vertical="center" wrapText="1"/>
    </xf>
    <xf borderId="0" fillId="8" fontId="5" numFmtId="0" xfId="0" applyAlignment="1" applyFont="1">
      <alignment horizontal="center" readingOrder="0" shrinkToFit="0" vertical="center" wrapText="1"/>
    </xf>
    <xf borderId="40" fillId="8" fontId="5" numFmtId="0" xfId="0" applyAlignment="1" applyBorder="1" applyFont="1">
      <alignment horizontal="center" readingOrder="0" shrinkToFit="0" vertical="center" wrapText="1"/>
    </xf>
    <xf borderId="55" fillId="52" fontId="54" numFmtId="0" xfId="0" applyAlignment="1" applyBorder="1" applyFont="1">
      <alignment horizontal="center" readingOrder="0" shrinkToFit="0" vertical="center" wrapText="1"/>
    </xf>
    <xf borderId="43" fillId="52" fontId="54" numFmtId="0" xfId="0" applyAlignment="1" applyBorder="1" applyFont="1">
      <alignment horizontal="center" readingOrder="0" shrinkToFit="0" vertical="center" wrapText="1"/>
    </xf>
    <xf borderId="56" fillId="52" fontId="54" numFmtId="0" xfId="0" applyAlignment="1" applyBorder="1" applyFont="1">
      <alignment horizontal="center" readingOrder="0" shrinkToFit="0" vertical="center" wrapText="1"/>
    </xf>
    <xf borderId="55" fillId="57" fontId="9" numFmtId="0" xfId="0" applyAlignment="1" applyBorder="1" applyFont="1">
      <alignment horizontal="center" readingOrder="0" shrinkToFit="0" vertical="center" wrapText="1"/>
    </xf>
    <xf borderId="43" fillId="57" fontId="9" numFmtId="0" xfId="0" applyAlignment="1" applyBorder="1" applyFont="1">
      <alignment horizontal="center" readingOrder="0" shrinkToFit="0" vertical="center" wrapText="1"/>
    </xf>
    <xf borderId="56" fillId="57" fontId="9" numFmtId="0" xfId="0" applyAlignment="1" applyBorder="1" applyFont="1">
      <alignment horizontal="center" readingOrder="0" shrinkToFit="0" vertical="center" wrapText="1"/>
    </xf>
    <xf borderId="55" fillId="66" fontId="54" numFmtId="0" xfId="0" applyAlignment="1" applyBorder="1" applyFont="1">
      <alignment horizontal="center" readingOrder="0" shrinkToFit="0" vertical="center" wrapText="1"/>
    </xf>
    <xf borderId="43" fillId="66" fontId="54" numFmtId="0" xfId="0" applyAlignment="1" applyBorder="1" applyFont="1">
      <alignment horizontal="center" readingOrder="0" shrinkToFit="0" vertical="center" wrapText="1"/>
    </xf>
    <xf borderId="56" fillId="66" fontId="54" numFmtId="0" xfId="0" applyAlignment="1" applyBorder="1" applyFont="1">
      <alignment horizontal="center" readingOrder="0" shrinkToFit="0" vertical="center" wrapText="1"/>
    </xf>
    <xf borderId="55" fillId="53" fontId="9" numFmtId="0" xfId="0" applyAlignment="1" applyBorder="1" applyFont="1">
      <alignment horizontal="center" readingOrder="0" shrinkToFit="0" vertical="center" wrapText="1"/>
    </xf>
    <xf borderId="43" fillId="53" fontId="9" numFmtId="0" xfId="0" applyAlignment="1" applyBorder="1" applyFont="1">
      <alignment horizontal="center" readingOrder="0" shrinkToFit="0" vertical="center" wrapText="1"/>
    </xf>
    <xf borderId="56" fillId="53" fontId="9" numFmtId="0" xfId="0" applyAlignment="1" applyBorder="1" applyFont="1">
      <alignment horizontal="center" readingOrder="0" shrinkToFit="0" vertical="center" wrapText="1"/>
    </xf>
    <xf borderId="55" fillId="63" fontId="9" numFmtId="0" xfId="0" applyAlignment="1" applyBorder="1" applyFont="1">
      <alignment horizontal="center" readingOrder="0" shrinkToFit="0" vertical="center" wrapText="1"/>
    </xf>
    <xf borderId="43" fillId="63" fontId="9" numFmtId="0" xfId="0" applyAlignment="1" applyBorder="1" applyFont="1">
      <alignment horizontal="center" readingOrder="0" shrinkToFit="0" vertical="center" wrapText="1"/>
    </xf>
    <xf borderId="56" fillId="63" fontId="9" numFmtId="0" xfId="0" applyAlignment="1" applyBorder="1" applyFont="1">
      <alignment horizontal="center" readingOrder="0" shrinkToFit="0" vertical="center" wrapText="1"/>
    </xf>
    <xf borderId="55" fillId="8" fontId="5" numFmtId="0" xfId="0" applyAlignment="1" applyBorder="1" applyFont="1">
      <alignment horizontal="center" readingOrder="0" shrinkToFit="0" vertical="center" wrapText="1"/>
    </xf>
    <xf borderId="43" fillId="8" fontId="5" numFmtId="0" xfId="0" applyAlignment="1" applyBorder="1" applyFont="1">
      <alignment horizontal="center" readingOrder="0" shrinkToFit="0" vertical="center" wrapText="1"/>
    </xf>
    <xf borderId="56" fillId="8" fontId="5" numFmtId="0" xfId="0" applyAlignment="1" applyBorder="1" applyFont="1">
      <alignment horizontal="center" readingOrder="0" shrinkToFit="0" vertical="center" wrapText="1"/>
    </xf>
    <xf borderId="24" fillId="54" fontId="56" numFmtId="0" xfId="0" applyAlignment="1" applyBorder="1" applyFont="1">
      <alignment horizontal="center" shrinkToFit="0" vertical="center" wrapText="1"/>
    </xf>
    <xf borderId="24" fillId="60" fontId="53" numFmtId="0" xfId="0" applyAlignment="1" applyBorder="1" applyFont="1">
      <alignment horizontal="center" readingOrder="0" shrinkToFit="0" vertical="center" wrapText="1"/>
    </xf>
    <xf borderId="24" fillId="68" fontId="53" numFmtId="0" xfId="0" applyAlignment="1" applyBorder="1" applyFont="1">
      <alignment horizontal="center" readingOrder="0" shrinkToFit="0" vertical="center" wrapText="1"/>
    </xf>
    <xf borderId="24" fillId="0" fontId="5" numFmtId="0" xfId="0" applyBorder="1" applyFont="1"/>
    <xf borderId="35" fillId="56" fontId="29" numFmtId="0" xfId="0" applyAlignment="1" applyBorder="1" applyFont="1">
      <alignment horizontal="center" shrinkToFit="0" wrapText="1"/>
    </xf>
    <xf borderId="0" fillId="56" fontId="29" numFmtId="0" xfId="0" applyAlignment="1" applyFont="1">
      <alignment horizontal="center" shrinkToFit="0" wrapText="1"/>
    </xf>
    <xf borderId="40" fillId="56" fontId="29" numFmtId="0" xfId="0" applyAlignment="1" applyBorder="1" applyFont="1">
      <alignment horizontal="center" shrinkToFit="0" wrapText="1"/>
    </xf>
    <xf borderId="35" fillId="61" fontId="9" numFmtId="0" xfId="0" applyAlignment="1" applyBorder="1" applyFont="1">
      <alignment horizontal="center" readingOrder="0" shrinkToFit="0" vertical="center" wrapText="1"/>
    </xf>
    <xf borderId="0" fillId="61" fontId="9" numFmtId="0" xfId="0" applyAlignment="1" applyFont="1">
      <alignment horizontal="center" readingOrder="0" shrinkToFit="0" vertical="center" wrapText="1"/>
    </xf>
    <xf borderId="40" fillId="61" fontId="9" numFmtId="0" xfId="0" applyAlignment="1" applyBorder="1" applyFont="1">
      <alignment horizontal="center" readingOrder="0" shrinkToFit="0" vertical="center" wrapText="1"/>
    </xf>
    <xf borderId="35" fillId="69" fontId="9" numFmtId="0" xfId="0" applyAlignment="1" applyBorder="1" applyFont="1">
      <alignment horizontal="center" readingOrder="0" shrinkToFit="0" vertical="center" wrapText="1"/>
    </xf>
    <xf borderId="0" fillId="69" fontId="9" numFmtId="0" xfId="0" applyAlignment="1" applyFont="1">
      <alignment horizontal="center" readingOrder="0" shrinkToFit="0" vertical="center" wrapText="1"/>
    </xf>
    <xf borderId="40" fillId="69" fontId="9" numFmtId="0" xfId="0" applyAlignment="1" applyBorder="1" applyFont="1">
      <alignment horizontal="center" readingOrder="0" shrinkToFit="0" vertical="center" wrapText="1"/>
    </xf>
    <xf borderId="35" fillId="15" fontId="9" numFmtId="0" xfId="0" applyAlignment="1" applyBorder="1" applyFont="1">
      <alignment horizontal="center" readingOrder="0" shrinkToFit="0" vertical="center" wrapText="1"/>
    </xf>
    <xf borderId="0" fillId="15" fontId="9" numFmtId="0" xfId="0" applyAlignment="1" applyFont="1">
      <alignment horizontal="center" readingOrder="0" shrinkToFit="0" vertical="center" wrapText="1"/>
    </xf>
    <xf borderId="40" fillId="15" fontId="9" numFmtId="0" xfId="0" applyAlignment="1" applyBorder="1" applyFont="1">
      <alignment horizontal="center" readingOrder="0" shrinkToFit="0" vertical="center" wrapText="1"/>
    </xf>
    <xf borderId="35" fillId="0" fontId="5" numFmtId="0" xfId="0" applyBorder="1" applyFont="1"/>
    <xf borderId="40" fillId="0" fontId="5" numFmtId="0" xfId="0" applyBorder="1" applyFont="1"/>
    <xf borderId="35" fillId="0" fontId="22" numFmtId="0" xfId="0" applyAlignment="1" applyBorder="1" applyFont="1">
      <alignment readingOrder="0"/>
    </xf>
    <xf borderId="57" fillId="56" fontId="29" numFmtId="0" xfId="0" applyAlignment="1" applyBorder="1" applyFont="1">
      <alignment horizontal="center" shrinkToFit="0" wrapText="1"/>
    </xf>
    <xf borderId="13" fillId="56" fontId="29" numFmtId="0" xfId="0" applyAlignment="1" applyBorder="1" applyFont="1">
      <alignment horizontal="center" shrinkToFit="0" wrapText="1"/>
    </xf>
    <xf borderId="58" fillId="56" fontId="29" numFmtId="0" xfId="0" applyAlignment="1" applyBorder="1" applyFont="1">
      <alignment horizontal="center" shrinkToFit="0" wrapText="1"/>
    </xf>
    <xf borderId="59" fillId="15" fontId="54" numFmtId="0" xfId="0" applyAlignment="1" applyBorder="1" applyFont="1">
      <alignment horizontal="center" readingOrder="0" shrinkToFit="0" vertical="center" wrapText="1"/>
    </xf>
    <xf borderId="57" fillId="56" fontId="29" numFmtId="0" xfId="0" applyAlignment="1" applyBorder="1" applyFont="1">
      <alignment horizontal="center" readingOrder="0" shrinkToFit="0" wrapText="1"/>
    </xf>
    <xf borderId="59" fillId="61" fontId="9" numFmtId="0" xfId="0" applyAlignment="1" applyBorder="1" applyFont="1">
      <alignment horizontal="center" readingOrder="0" shrinkToFit="0" vertical="center" wrapText="1"/>
    </xf>
    <xf borderId="60" fillId="61" fontId="9" numFmtId="0" xfId="0" applyAlignment="1" applyBorder="1" applyFont="1">
      <alignment horizontal="center" readingOrder="0" shrinkToFit="0" vertical="center" wrapText="1"/>
    </xf>
    <xf borderId="61" fillId="61" fontId="9" numFmtId="0" xfId="0" applyAlignment="1" applyBorder="1" applyFont="1">
      <alignment horizontal="center" readingOrder="0" shrinkToFit="0" vertical="center" wrapText="1"/>
    </xf>
    <xf borderId="59" fillId="69" fontId="9" numFmtId="0" xfId="0" applyAlignment="1" applyBorder="1" applyFont="1">
      <alignment horizontal="center" readingOrder="0" shrinkToFit="0" vertical="center" wrapText="1"/>
    </xf>
    <xf borderId="60" fillId="69" fontId="9" numFmtId="0" xfId="0" applyAlignment="1" applyBorder="1" applyFont="1">
      <alignment horizontal="center" readingOrder="0" shrinkToFit="0" vertical="center" wrapText="1"/>
    </xf>
    <xf borderId="61" fillId="69" fontId="9" numFmtId="0" xfId="0" applyAlignment="1" applyBorder="1" applyFont="1">
      <alignment horizontal="center" readingOrder="0" shrinkToFit="0" vertical="center" wrapText="1"/>
    </xf>
    <xf borderId="59" fillId="15" fontId="9" numFmtId="0" xfId="0" applyAlignment="1" applyBorder="1" applyFont="1">
      <alignment horizontal="center" readingOrder="0" shrinkToFit="0" vertical="center" wrapText="1"/>
    </xf>
    <xf borderId="60" fillId="15" fontId="9" numFmtId="0" xfId="0" applyAlignment="1" applyBorder="1" applyFont="1">
      <alignment horizontal="center" readingOrder="0" shrinkToFit="0" vertical="center" wrapText="1"/>
    </xf>
    <xf borderId="61" fillId="15" fontId="9" numFmtId="0" xfId="0" applyAlignment="1" applyBorder="1" applyFont="1">
      <alignment horizontal="center" readingOrder="0" shrinkToFit="0" vertical="center" wrapText="1"/>
    </xf>
    <xf borderId="59" fillId="0" fontId="5" numFmtId="0" xfId="0" applyBorder="1" applyFont="1"/>
    <xf borderId="60" fillId="0" fontId="5" numFmtId="0" xfId="0" applyBorder="1" applyFont="1"/>
    <xf borderId="60" fillId="0" fontId="5" numFmtId="0" xfId="0" applyAlignment="1" applyBorder="1" applyFont="1">
      <alignment readingOrder="0"/>
    </xf>
    <xf borderId="61"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0On84pEP4oGxdVl5QJc5Ik7qWITRUAOh6Fr2CeqTEsQ/edit" TargetMode="External"/><Relationship Id="rId2" Type="http://schemas.openxmlformats.org/officeDocument/2006/relationships/hyperlink" Target="https://docs.google.com/document/d/1x46YlQBQI-rTj7HqCwg3gCfnBLEMLW2N6RVoerZeHsc/edit" TargetMode="External"/><Relationship Id="rId3" Type="http://schemas.openxmlformats.org/officeDocument/2006/relationships/hyperlink" Target="https://docs.google.com/spreadsheets/d/18TP0cRoZbD4-dXeIqJbM5XLHiSeGRUdN3_McEf0AzFU/edit" TargetMode="External"/><Relationship Id="rId4" Type="http://schemas.openxmlformats.org/officeDocument/2006/relationships/hyperlink" Target="https://docs.google.com/spreadsheets/d/1KP-a4mvTbhhul9mONBqrsuCRzc2UoqodNQMpdT_3Zzk"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s://docs.google.com/spreadsheets/d/1nYQMm53JCMAtjw2FAN82kKWo28nPNxB2FFYzeJYaO9g/edit" TargetMode="External"/><Relationship Id="rId10" Type="http://schemas.openxmlformats.org/officeDocument/2006/relationships/hyperlink" Target="https://docs.google.com/spreadsheets/d/1LwNrdCtxN9EX_Ewi7aiHou0IK2EbclVpRowtxPcUb_E/edit?gid=202860722" TargetMode="External"/><Relationship Id="rId13" Type="http://schemas.openxmlformats.org/officeDocument/2006/relationships/hyperlink" Target="https://docs.google.com/spreadsheets/d/1haUfII9FZiR1ufVqW_nCXuH14l9R97SyObE0sNEi0Go/edit" TargetMode="External"/><Relationship Id="rId12" Type="http://schemas.openxmlformats.org/officeDocument/2006/relationships/hyperlink" Target="https://docs.google.com/spreadsheets/d/1KP-a4mvTbhhul9mONBqrsuCRzc2UoqodNQMpdT_3Zzk/edit?usp=sharing" TargetMode="External"/><Relationship Id="rId1" Type="http://schemas.openxmlformats.org/officeDocument/2006/relationships/comments" Target="../comments1.xml"/><Relationship Id="rId2" Type="http://schemas.openxmlformats.org/officeDocument/2006/relationships/hyperlink" Target="https://docs.google.com/spreadsheets/d/1zA-0IH5pQJ3GDkl73GOvuhgVu06Cr8oipaxXJFmGcDI" TargetMode="External"/><Relationship Id="rId3" Type="http://schemas.openxmlformats.org/officeDocument/2006/relationships/hyperlink" Target="https://docs.google.com/spreadsheets/d/1Z5dMsEOSTAva7ZzF4MqrxnRK-CupCFzmG3uTkUH4KoM/edit" TargetMode="External"/><Relationship Id="rId4" Type="http://schemas.openxmlformats.org/officeDocument/2006/relationships/hyperlink" Target="https://docs.google.com/spreadsheets/d/1VWR8VE0cxc6CbEQuCPk7zqVX3VLmU_D6k3H2_3TeZ9k/edit" TargetMode="External"/><Relationship Id="rId9" Type="http://schemas.openxmlformats.org/officeDocument/2006/relationships/hyperlink" Target="https://docs.google.com/spreadsheets/d/1aNAnp0Vgag5H6LYCVPKH1LwXLJ0SAqmm420t1uiTjCU/edit" TargetMode="External"/><Relationship Id="rId15" Type="http://schemas.openxmlformats.org/officeDocument/2006/relationships/vmlDrawing" Target="../drawings/vmlDrawing1.vml"/><Relationship Id="rId14" Type="http://schemas.openxmlformats.org/officeDocument/2006/relationships/drawing" Target="../drawings/drawing14.xml"/><Relationship Id="rId5" Type="http://schemas.openxmlformats.org/officeDocument/2006/relationships/hyperlink" Target="https://docs.google.com/document/d/1wZI3kBSHKkVk407UXDzZLIcGpjPGYYt8IQVlPrz4TrE/edit" TargetMode="External"/><Relationship Id="rId6" Type="http://schemas.openxmlformats.org/officeDocument/2006/relationships/hyperlink" Target="https://docs.google.com/spreadsheets/d/1atYRmF32jkYxzMudk1IpSnSVy2zbCa0sLKDnliyKNC0/edit" TargetMode="External"/><Relationship Id="rId7" Type="http://schemas.openxmlformats.org/officeDocument/2006/relationships/hyperlink" Target="https://docs.google.com/spreadsheets/d/1DKPrrmbeZ9Jbxji09nUYNl6Hfls3C8Xh_wUgKU0yVDg/edit" TargetMode="External"/><Relationship Id="rId8" Type="http://schemas.openxmlformats.org/officeDocument/2006/relationships/hyperlink" Target="https://docs.google.com/spreadsheets/d/10m41_X3YDI0I1AZUMnVbqn8_Vt-vASPGmxLGYDMpU4Y/edit"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5.xml"/><Relationship Id="rId3"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6.xml"/><Relationship Id="rId3"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7.xml"/><Relationship Id="rId3"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8.xml"/><Relationship Id="rId3"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9.xml"/><Relationship Id="rId3" Type="http://schemas.openxmlformats.org/officeDocument/2006/relationships/vmlDrawing" Target="../drawings/vmlDrawing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0.xml"/><Relationship Id="rId3"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1.xml"/><Relationship Id="rId3"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2.xml"/><Relationship Id="rId3" Type="http://schemas.openxmlformats.org/officeDocument/2006/relationships/vmlDrawing" Target="../drawings/vmlDrawing9.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3.xml"/><Relationship Id="rId3" Type="http://schemas.openxmlformats.org/officeDocument/2006/relationships/vmlDrawing" Target="../drawings/vmlDrawing10.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4.xml"/><Relationship Id="rId3" Type="http://schemas.openxmlformats.org/officeDocument/2006/relationships/vmlDrawing" Target="../drawings/vmlDrawing11.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row>
    <row r="3">
      <c r="A3" s="3" t="s">
        <v>2</v>
      </c>
      <c r="B3" s="4" t="s">
        <v>3</v>
      </c>
      <c r="C3" s="6"/>
      <c r="D3" s="8"/>
      <c r="F3" s="9"/>
    </row>
    <row r="4">
      <c r="A4" s="10"/>
    </row>
    <row r="5">
      <c r="A5" s="12"/>
      <c r="B5" s="14" t="s">
        <v>6</v>
      </c>
      <c r="C5" s="16"/>
      <c r="D5" s="19" t="s">
        <v>7</v>
      </c>
      <c r="E5" s="6"/>
      <c r="F5" s="21"/>
    </row>
    <row r="6">
      <c r="A6" s="9"/>
      <c r="B6" s="24" t="s">
        <v>5</v>
      </c>
      <c r="C6" s="26"/>
      <c r="D6" s="28" t="s">
        <v>10</v>
      </c>
      <c r="E6" s="26"/>
    </row>
    <row r="7">
      <c r="A7" s="29"/>
    </row>
    <row r="8">
      <c r="A8" s="30" t="s">
        <v>13</v>
      </c>
      <c r="B8" s="30" t="s">
        <v>15</v>
      </c>
      <c r="C8" s="35" t="s">
        <v>16</v>
      </c>
      <c r="D8" s="37"/>
      <c r="E8" s="37"/>
      <c r="F8" s="6"/>
    </row>
    <row r="9">
      <c r="A9" s="30" t="s">
        <v>23</v>
      </c>
      <c r="B9" s="42" t="s">
        <v>24</v>
      </c>
      <c r="C9" s="43" t="s">
        <v>27</v>
      </c>
      <c r="D9" s="37"/>
      <c r="E9" s="37"/>
      <c r="F9" s="6"/>
    </row>
    <row r="10">
      <c r="A10" s="30" t="s">
        <v>31</v>
      </c>
      <c r="B10" s="42" t="s">
        <v>34</v>
      </c>
      <c r="C10" s="45" t="s">
        <v>36</v>
      </c>
      <c r="D10" s="37"/>
      <c r="E10" s="37"/>
      <c r="F10" s="6"/>
    </row>
    <row r="11">
      <c r="A11" s="46" t="s">
        <v>43</v>
      </c>
      <c r="B11" s="48">
        <v>42630.0</v>
      </c>
      <c r="C11" s="45" t="s">
        <v>48</v>
      </c>
      <c r="D11" s="37"/>
      <c r="E11" s="37"/>
      <c r="F11" s="6"/>
    </row>
    <row r="12">
      <c r="A12" s="46" t="s">
        <v>52</v>
      </c>
      <c r="B12" s="48">
        <v>42637.0</v>
      </c>
      <c r="C12" s="45" t="s">
        <v>54</v>
      </c>
      <c r="D12" s="37"/>
      <c r="E12" s="37"/>
      <c r="F12" s="6"/>
    </row>
    <row r="13">
      <c r="A13" s="46" t="s">
        <v>58</v>
      </c>
      <c r="B13" s="48">
        <v>42643.0</v>
      </c>
      <c r="C13" s="45" t="s">
        <v>59</v>
      </c>
      <c r="D13" s="37"/>
      <c r="E13" s="37"/>
      <c r="F13" s="6"/>
    </row>
    <row r="14">
      <c r="A14" s="46" t="s">
        <v>68</v>
      </c>
      <c r="B14" s="42" t="s">
        <v>69</v>
      </c>
      <c r="C14" s="45" t="s">
        <v>71</v>
      </c>
      <c r="D14" s="37"/>
      <c r="E14" s="37"/>
      <c r="F14" s="6"/>
    </row>
    <row r="15">
      <c r="A15" s="46" t="s">
        <v>73</v>
      </c>
      <c r="B15" s="51" t="s">
        <v>74</v>
      </c>
      <c r="C15" s="45" t="s">
        <v>76</v>
      </c>
      <c r="D15" s="37"/>
      <c r="E15" s="37"/>
      <c r="F15" s="6"/>
    </row>
    <row r="16">
      <c r="A16" s="46" t="s">
        <v>80</v>
      </c>
      <c r="B16" s="42" t="s">
        <v>81</v>
      </c>
      <c r="C16" s="45" t="s">
        <v>83</v>
      </c>
      <c r="D16" s="37"/>
      <c r="E16" s="37"/>
      <c r="F16" s="6"/>
    </row>
    <row r="17">
      <c r="A17" s="46" t="s">
        <v>8</v>
      </c>
      <c r="B17" s="42" t="s">
        <v>88</v>
      </c>
      <c r="C17" s="45" t="s">
        <v>89</v>
      </c>
      <c r="D17" s="37"/>
      <c r="E17" s="37"/>
      <c r="F17" s="6"/>
    </row>
    <row r="18">
      <c r="A18" s="46" t="s">
        <v>93</v>
      </c>
      <c r="B18" s="54" t="s">
        <v>94</v>
      </c>
      <c r="C18" s="45" t="s">
        <v>97</v>
      </c>
      <c r="D18" s="37"/>
      <c r="E18" s="37"/>
      <c r="F18" s="6"/>
    </row>
    <row r="19">
      <c r="A19" s="46" t="s">
        <v>4</v>
      </c>
      <c r="B19" s="54" t="s">
        <v>17</v>
      </c>
      <c r="C19" s="45" t="s">
        <v>100</v>
      </c>
      <c r="D19" s="37"/>
      <c r="E19" s="37"/>
      <c r="F19" s="6"/>
    </row>
    <row r="20">
      <c r="A20" s="58" t="str">
        <f>HYPERLINK("https://docs.google.com/document/d/1OmgOHDN7s3SCsoJlMlG9kzIdx8Z65RSWNFO3LQwyQ-4/edit","See the changelog for changes past 4.0.12!")</f>
        <v>See the changelog for changes past 4.0.12!</v>
      </c>
      <c r="B20" s="37"/>
      <c r="C20" s="37"/>
      <c r="D20" s="37"/>
      <c r="E20" s="37"/>
      <c r="F20" s="6"/>
    </row>
  </sheetData>
  <mergeCells count="24">
    <mergeCell ref="B5:C5"/>
    <mergeCell ref="B6:C6"/>
    <mergeCell ref="A1:F2"/>
    <mergeCell ref="B3:C3"/>
    <mergeCell ref="D3:F3"/>
    <mergeCell ref="A4:F4"/>
    <mergeCell ref="A5:A6"/>
    <mergeCell ref="D5:E5"/>
    <mergeCell ref="F5:F6"/>
    <mergeCell ref="C13:F13"/>
    <mergeCell ref="C14:F14"/>
    <mergeCell ref="C15:F15"/>
    <mergeCell ref="C16:F16"/>
    <mergeCell ref="C17:F17"/>
    <mergeCell ref="C18:F18"/>
    <mergeCell ref="C19:F19"/>
    <mergeCell ref="A20:F20"/>
    <mergeCell ref="D6:E6"/>
    <mergeCell ref="A7:F7"/>
    <mergeCell ref="C8:F8"/>
    <mergeCell ref="C9:F9"/>
    <mergeCell ref="C10:F10"/>
    <mergeCell ref="C11:F11"/>
    <mergeCell ref="C12:F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88"/>
  </cols>
  <sheetData>
    <row r="1">
      <c r="A1" s="1" t="s">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16.25"/>
  </cols>
  <sheetData>
    <row r="1">
      <c r="A1" s="5" t="s">
        <v>4</v>
      </c>
      <c r="B1" s="7"/>
      <c r="C1" s="7"/>
      <c r="D1" s="7"/>
      <c r="E1" s="7"/>
      <c r="F1" s="7"/>
      <c r="G1" s="7"/>
      <c r="H1" s="11"/>
    </row>
    <row r="2">
      <c r="A2" s="13" t="s">
        <v>5</v>
      </c>
      <c r="B2" s="15">
        <v>42715.0</v>
      </c>
      <c r="C2" s="17"/>
      <c r="H2" s="18"/>
    </row>
    <row r="3">
      <c r="A3" s="20"/>
      <c r="E3" s="22"/>
      <c r="F3" s="23"/>
      <c r="G3" s="23"/>
      <c r="H3" s="23"/>
    </row>
    <row r="4">
      <c r="A4" s="25" t="s">
        <v>9</v>
      </c>
      <c r="B4" s="18"/>
      <c r="C4" s="18"/>
      <c r="D4" s="18"/>
      <c r="E4" s="18"/>
      <c r="F4" s="18"/>
      <c r="G4" s="18"/>
      <c r="H4" s="18"/>
    </row>
    <row r="5">
      <c r="A5" s="11"/>
      <c r="B5" s="25" t="s">
        <v>11</v>
      </c>
      <c r="D5" s="18"/>
      <c r="E5" s="18"/>
      <c r="F5" s="18"/>
      <c r="G5" s="18"/>
      <c r="H5" s="18"/>
    </row>
    <row r="6">
      <c r="A6" s="11"/>
      <c r="B6" s="18"/>
      <c r="C6" s="25" t="s">
        <v>12</v>
      </c>
    </row>
    <row r="7">
      <c r="A7" s="11"/>
      <c r="B7" s="11"/>
      <c r="C7" s="32" t="s">
        <v>14</v>
      </c>
    </row>
    <row r="8">
      <c r="A8" s="11"/>
      <c r="B8" s="25" t="s">
        <v>18</v>
      </c>
      <c r="C8" s="11"/>
      <c r="D8" s="11"/>
      <c r="E8" s="11"/>
      <c r="F8" s="11"/>
      <c r="G8" s="11"/>
      <c r="H8" s="11"/>
    </row>
    <row r="9">
      <c r="A9" s="11"/>
      <c r="B9" s="11"/>
      <c r="C9" s="25" t="s">
        <v>19</v>
      </c>
    </row>
    <row r="10">
      <c r="A10" s="25" t="s">
        <v>20</v>
      </c>
      <c r="B10" s="11"/>
      <c r="C10" s="11"/>
      <c r="D10" s="11"/>
      <c r="E10" s="11"/>
      <c r="F10" s="11"/>
      <c r="G10" s="11"/>
      <c r="H10" s="11"/>
    </row>
    <row r="11">
      <c r="A11" s="11"/>
      <c r="B11" s="38" t="s">
        <v>21</v>
      </c>
      <c r="C11" s="39"/>
      <c r="D11" s="39"/>
      <c r="E11" s="39"/>
      <c r="F11" s="39"/>
      <c r="G11" s="39"/>
      <c r="H11" s="39"/>
    </row>
    <row r="12">
      <c r="A12" s="11"/>
      <c r="B12" s="39"/>
      <c r="C12" s="38" t="s">
        <v>25</v>
      </c>
      <c r="D12" s="41"/>
    </row>
    <row r="13">
      <c r="A13" s="11"/>
      <c r="B13" s="39"/>
      <c r="C13" s="39"/>
      <c r="D13" s="38" t="s">
        <v>26</v>
      </c>
    </row>
    <row r="14">
      <c r="A14" s="25"/>
      <c r="B14" s="38" t="s">
        <v>28</v>
      </c>
      <c r="C14" s="39"/>
      <c r="D14" s="41"/>
      <c r="G14" s="18"/>
      <c r="H14" s="18"/>
    </row>
    <row r="15">
      <c r="A15" s="25"/>
      <c r="B15" s="39"/>
      <c r="C15" s="38" t="s">
        <v>30</v>
      </c>
      <c r="D15" s="41"/>
      <c r="E15" s="41"/>
      <c r="F15" s="41"/>
      <c r="G15" s="18"/>
      <c r="H15" s="18"/>
    </row>
    <row r="16">
      <c r="A16" s="25"/>
      <c r="B16" s="11"/>
      <c r="C16" s="11"/>
      <c r="D16" s="41" t="s">
        <v>32</v>
      </c>
    </row>
    <row r="17">
      <c r="A17" s="44" t="s">
        <v>35</v>
      </c>
      <c r="B17" s="11"/>
      <c r="C17" s="11"/>
      <c r="D17" s="41"/>
      <c r="E17" s="41"/>
      <c r="F17" s="41"/>
      <c r="G17" s="18"/>
      <c r="H17" s="18"/>
    </row>
    <row r="18">
      <c r="A18" s="18"/>
      <c r="B18" s="25" t="s">
        <v>39</v>
      </c>
      <c r="C18" s="11"/>
      <c r="D18" s="11"/>
      <c r="E18" s="18"/>
      <c r="F18" s="18"/>
      <c r="G18" s="18"/>
      <c r="H18" s="18"/>
    </row>
    <row r="19">
      <c r="A19" s="11"/>
      <c r="B19" s="11"/>
      <c r="C19" s="25" t="s">
        <v>40</v>
      </c>
      <c r="D19" s="11"/>
      <c r="E19" s="11"/>
      <c r="F19" s="11"/>
      <c r="G19" s="11"/>
      <c r="H19" s="11"/>
    </row>
    <row r="20">
      <c r="A20" s="11"/>
      <c r="B20" s="11"/>
      <c r="C20" s="11"/>
      <c r="D20" s="25" t="s">
        <v>42</v>
      </c>
      <c r="E20" s="25" t="s">
        <v>44</v>
      </c>
    </row>
    <row r="21">
      <c r="A21" s="11"/>
      <c r="B21" s="11"/>
      <c r="C21" s="47" t="s">
        <v>45</v>
      </c>
      <c r="D21" s="11"/>
      <c r="E21" s="11"/>
      <c r="F21" s="11"/>
      <c r="G21" s="11"/>
      <c r="H21" s="11"/>
    </row>
    <row r="22">
      <c r="A22" s="11"/>
      <c r="B22" s="11"/>
      <c r="C22" s="11"/>
      <c r="D22" s="47" t="s">
        <v>42</v>
      </c>
      <c r="E22" s="49" t="s">
        <v>47</v>
      </c>
    </row>
    <row r="23">
      <c r="A23" s="18"/>
      <c r="B23" s="25" t="s">
        <v>49</v>
      </c>
      <c r="C23" s="11"/>
      <c r="D23" s="11"/>
      <c r="E23" s="11"/>
      <c r="F23" s="11"/>
      <c r="G23" s="11"/>
      <c r="H23" s="18"/>
    </row>
    <row r="24">
      <c r="A24" s="18"/>
      <c r="B24" s="11"/>
      <c r="C24" s="25" t="s">
        <v>51</v>
      </c>
      <c r="D24" s="50"/>
    </row>
    <row r="25">
      <c r="A25" s="18"/>
      <c r="B25" s="18"/>
      <c r="C25" s="11"/>
      <c r="D25" s="25" t="s">
        <v>55</v>
      </c>
      <c r="F25" s="18"/>
      <c r="G25" s="18"/>
      <c r="H25" s="18"/>
    </row>
    <row r="26">
      <c r="A26" s="11"/>
      <c r="B26" s="25" t="s">
        <v>56</v>
      </c>
      <c r="C26" s="11"/>
      <c r="D26" s="50"/>
      <c r="H26" s="11"/>
    </row>
    <row r="27">
      <c r="A27" s="11"/>
      <c r="B27" s="18"/>
      <c r="C27" s="47" t="s">
        <v>57</v>
      </c>
      <c r="F27" s="11"/>
      <c r="G27" s="18"/>
      <c r="H27" s="18"/>
    </row>
    <row r="28">
      <c r="A28" s="11"/>
      <c r="B28" s="11"/>
      <c r="C28" s="11"/>
      <c r="D28" s="25" t="s">
        <v>60</v>
      </c>
    </row>
    <row r="29">
      <c r="A29" s="11"/>
      <c r="B29" s="25" t="s">
        <v>61</v>
      </c>
      <c r="C29" s="11"/>
      <c r="D29" s="11"/>
      <c r="E29" s="11"/>
      <c r="F29" s="11"/>
      <c r="G29" s="11"/>
      <c r="H29" s="11"/>
    </row>
    <row r="30">
      <c r="A30" s="11"/>
      <c r="B30" s="11"/>
      <c r="C30" s="25" t="s">
        <v>30</v>
      </c>
      <c r="D30" s="41"/>
      <c r="F30" s="11"/>
      <c r="G30" s="11"/>
      <c r="H30" s="11"/>
    </row>
    <row r="31">
      <c r="A31" s="11"/>
      <c r="B31" s="11"/>
      <c r="C31" s="11"/>
      <c r="D31" s="32" t="s">
        <v>63</v>
      </c>
    </row>
    <row r="32">
      <c r="A32" s="11"/>
      <c r="B32" s="25" t="s">
        <v>64</v>
      </c>
      <c r="C32" s="11"/>
      <c r="D32" s="41"/>
    </row>
    <row r="33">
      <c r="A33" s="11"/>
      <c r="B33" s="11"/>
      <c r="C33" s="25" t="s">
        <v>65</v>
      </c>
      <c r="D33" s="11"/>
      <c r="E33" s="11"/>
      <c r="F33" s="11"/>
      <c r="G33" s="11"/>
      <c r="H33" s="18"/>
    </row>
    <row r="34">
      <c r="A34" s="11"/>
      <c r="B34" s="11"/>
      <c r="C34" s="11"/>
      <c r="D34" s="47" t="s">
        <v>67</v>
      </c>
      <c r="E34" s="11"/>
      <c r="F34" s="18"/>
      <c r="G34" s="18"/>
      <c r="H34" s="18"/>
    </row>
    <row r="35">
      <c r="A35" s="11"/>
      <c r="B35" s="25" t="s">
        <v>70</v>
      </c>
      <c r="C35" s="11"/>
      <c r="D35" s="11"/>
      <c r="E35" s="11"/>
      <c r="F35" s="11"/>
      <c r="G35" s="11"/>
      <c r="H35" s="18"/>
    </row>
    <row r="36">
      <c r="A36" s="11"/>
      <c r="B36" s="11"/>
      <c r="C36" s="25" t="s">
        <v>72</v>
      </c>
      <c r="D36" s="41"/>
      <c r="G36" s="41"/>
    </row>
    <row r="37">
      <c r="A37" s="11"/>
      <c r="B37" s="11"/>
      <c r="C37" s="39"/>
      <c r="D37" s="25" t="s">
        <v>75</v>
      </c>
      <c r="H37" s="11"/>
    </row>
    <row r="38">
      <c r="A38" s="11"/>
      <c r="B38" s="25"/>
      <c r="C38" s="38" t="s">
        <v>78</v>
      </c>
      <c r="D38" s="41"/>
      <c r="G38" s="11"/>
      <c r="H38" s="11"/>
    </row>
    <row r="39">
      <c r="A39" s="11"/>
      <c r="B39" s="25"/>
      <c r="C39" s="39"/>
      <c r="D39" s="41" t="s">
        <v>79</v>
      </c>
      <c r="E39" s="41"/>
      <c r="F39" s="41"/>
      <c r="G39" s="11"/>
      <c r="H39" s="11"/>
    </row>
    <row r="40">
      <c r="A40" s="11"/>
      <c r="B40" s="25"/>
      <c r="C40" s="38" t="s">
        <v>82</v>
      </c>
      <c r="D40" s="41"/>
      <c r="E40" s="41"/>
      <c r="F40" s="41"/>
      <c r="G40" s="11"/>
      <c r="H40" s="11"/>
    </row>
    <row r="41">
      <c r="A41" s="11"/>
      <c r="B41" s="44" t="s">
        <v>85</v>
      </c>
      <c r="C41" s="11"/>
      <c r="D41" s="41" t="s">
        <v>86</v>
      </c>
      <c r="E41" s="41"/>
      <c r="F41" s="41"/>
      <c r="G41" s="11"/>
      <c r="H41" s="11"/>
    </row>
    <row r="42">
      <c r="A42" s="11"/>
      <c r="B42" s="11"/>
      <c r="C42" s="25" t="s">
        <v>87</v>
      </c>
      <c r="D42" s="11"/>
      <c r="E42" s="11"/>
      <c r="F42" s="11"/>
      <c r="G42" s="11"/>
      <c r="H42" s="11"/>
    </row>
    <row r="43">
      <c r="A43" s="11"/>
      <c r="B43" s="11"/>
      <c r="C43" s="11"/>
      <c r="D43" s="25" t="s">
        <v>90</v>
      </c>
      <c r="F43" s="18"/>
      <c r="G43" s="18"/>
      <c r="H43" s="18"/>
    </row>
    <row r="44">
      <c r="A44" s="11"/>
      <c r="B44" s="25" t="s">
        <v>92</v>
      </c>
      <c r="C44" s="11"/>
      <c r="D44" s="41"/>
      <c r="G44" s="11"/>
      <c r="H44" s="18"/>
    </row>
    <row r="45">
      <c r="A45" s="11"/>
      <c r="B45" s="11"/>
      <c r="C45" s="25" t="s">
        <v>96</v>
      </c>
      <c r="D45" s="41"/>
      <c r="G45" s="11"/>
      <c r="H45" s="18"/>
    </row>
    <row r="46">
      <c r="A46" s="11"/>
      <c r="B46" s="11"/>
      <c r="C46" s="11"/>
      <c r="D46" s="44" t="s">
        <v>98</v>
      </c>
      <c r="E46" s="11"/>
      <c r="F46" s="11"/>
      <c r="G46" s="41"/>
      <c r="H46" s="41"/>
    </row>
    <row r="47">
      <c r="A47" s="11"/>
      <c r="B47" s="11"/>
      <c r="C47" s="11"/>
      <c r="D47" s="11"/>
      <c r="E47" s="11"/>
      <c r="F47" s="18"/>
      <c r="G47" s="18"/>
      <c r="H47" s="18"/>
    </row>
    <row r="48">
      <c r="A48" s="11"/>
      <c r="B48" s="11"/>
      <c r="C48" s="11"/>
      <c r="D48" s="41"/>
      <c r="H48" s="18"/>
    </row>
    <row r="49">
      <c r="A49" s="11"/>
      <c r="B49" s="11"/>
      <c r="C49" s="11"/>
      <c r="D49" s="11"/>
      <c r="E49" s="11"/>
      <c r="F49" s="11"/>
      <c r="G49" s="11"/>
      <c r="H49" s="11"/>
    </row>
    <row r="50">
      <c r="A50" s="11"/>
      <c r="B50" s="11"/>
      <c r="C50" s="11"/>
      <c r="D50" s="11"/>
      <c r="E50" s="11"/>
      <c r="F50" s="18"/>
      <c r="G50" s="18"/>
      <c r="H50" s="18"/>
    </row>
    <row r="51">
      <c r="A51" s="11"/>
      <c r="B51" s="11"/>
      <c r="C51" s="11"/>
      <c r="D51" s="50"/>
    </row>
    <row r="52">
      <c r="A52" s="11"/>
      <c r="B52" s="11"/>
      <c r="C52" s="11"/>
      <c r="D52" s="41"/>
      <c r="F52" s="11"/>
      <c r="G52" s="11"/>
      <c r="H52" s="11"/>
    </row>
    <row r="53">
      <c r="A53" s="11"/>
      <c r="B53" s="11"/>
      <c r="C53" s="11"/>
      <c r="D53" s="11"/>
      <c r="E53" s="11"/>
      <c r="F53" s="18"/>
      <c r="G53" s="18"/>
      <c r="H53" s="18"/>
    </row>
    <row r="54">
      <c r="A54" s="11"/>
      <c r="B54" s="11"/>
      <c r="C54" s="11"/>
      <c r="D54" s="50"/>
      <c r="F54" s="50"/>
    </row>
    <row r="55">
      <c r="A55" s="41"/>
      <c r="B55" s="41"/>
      <c r="C55" s="41"/>
      <c r="D55" s="41"/>
      <c r="E55" s="41"/>
      <c r="F55" s="57"/>
      <c r="G55" s="57"/>
      <c r="H55" s="57"/>
    </row>
    <row r="56">
      <c r="A56" s="41"/>
      <c r="B56" s="41"/>
      <c r="C56" s="41"/>
      <c r="D56" s="41"/>
      <c r="G56" s="41"/>
    </row>
    <row r="57">
      <c r="A57" s="41"/>
      <c r="B57" s="41"/>
      <c r="C57" s="41"/>
      <c r="D57" s="41"/>
      <c r="H57" s="41"/>
    </row>
    <row r="58">
      <c r="A58" s="57"/>
      <c r="B58" s="41"/>
      <c r="C58" s="41"/>
      <c r="D58" s="41"/>
      <c r="G58" s="41"/>
      <c r="H58" s="41"/>
    </row>
    <row r="59">
      <c r="A59" s="57"/>
      <c r="B59" s="41"/>
      <c r="C59" s="41"/>
      <c r="D59" s="41"/>
      <c r="E59" s="41"/>
      <c r="F59" s="41"/>
      <c r="G59" s="41"/>
      <c r="H59" s="41"/>
    </row>
    <row r="60">
      <c r="A60" s="57"/>
      <c r="B60" s="57"/>
      <c r="C60" s="41"/>
      <c r="D60" s="41"/>
      <c r="F60" s="41"/>
      <c r="G60" s="41"/>
      <c r="H60" s="41"/>
    </row>
    <row r="61">
      <c r="A61" s="41"/>
      <c r="B61" s="41"/>
      <c r="C61" s="41"/>
      <c r="D61" s="41"/>
      <c r="G61" s="57"/>
      <c r="H61" s="57"/>
    </row>
    <row r="62">
      <c r="A62" s="41"/>
      <c r="B62" s="41"/>
      <c r="C62" s="41"/>
      <c r="D62" s="41"/>
      <c r="G62" s="57"/>
      <c r="H62" s="57"/>
    </row>
    <row r="63">
      <c r="A63" s="41"/>
      <c r="B63" s="41"/>
      <c r="C63" s="41"/>
    </row>
    <row r="64">
      <c r="A64" s="57"/>
      <c r="B64" s="41"/>
      <c r="C64" s="41"/>
      <c r="D64" s="41"/>
      <c r="E64" s="41"/>
      <c r="F64" s="41"/>
      <c r="G64" s="41"/>
      <c r="H64" s="41"/>
    </row>
    <row r="65">
      <c r="A65" s="41"/>
      <c r="B65" s="60"/>
      <c r="C65" s="41"/>
      <c r="D65" s="41"/>
      <c r="H65" s="41"/>
    </row>
    <row r="66">
      <c r="A66" s="41"/>
      <c r="B66" s="41"/>
      <c r="C66" s="41"/>
      <c r="D66" s="41"/>
      <c r="E66" s="41"/>
      <c r="F66" s="41"/>
      <c r="G66" s="41"/>
      <c r="H66" s="41"/>
    </row>
    <row r="67">
      <c r="A67" s="57"/>
      <c r="B67" s="57"/>
      <c r="C67" s="41"/>
      <c r="D67" s="41"/>
      <c r="E67" s="41"/>
      <c r="F67" s="41"/>
      <c r="G67" s="41"/>
      <c r="H67" s="41"/>
    </row>
    <row r="68">
      <c r="A68" s="57"/>
      <c r="B68" s="57"/>
      <c r="C68" s="41"/>
      <c r="D68" s="41"/>
    </row>
    <row r="69">
      <c r="A69" s="57"/>
      <c r="B69" s="41"/>
      <c r="C69" s="57"/>
      <c r="D69" s="41"/>
      <c r="F69" s="41"/>
      <c r="G69" s="41"/>
      <c r="H69" s="41"/>
    </row>
    <row r="70">
      <c r="A70" s="57"/>
      <c r="B70" s="57"/>
      <c r="C70" s="41"/>
      <c r="D70" s="41"/>
      <c r="E70" s="41"/>
      <c r="F70" s="41"/>
      <c r="G70" s="41"/>
      <c r="H70" s="41"/>
    </row>
    <row r="71">
      <c r="A71" s="57"/>
      <c r="B71" s="57"/>
      <c r="C71" s="57"/>
      <c r="D71" s="41"/>
      <c r="F71" s="41"/>
    </row>
    <row r="72">
      <c r="A72" s="41"/>
      <c r="B72" s="57"/>
      <c r="C72" s="50"/>
      <c r="D72" s="41"/>
      <c r="E72" s="41"/>
      <c r="F72" s="41"/>
      <c r="G72" s="41"/>
      <c r="H72" s="41"/>
    </row>
    <row r="73">
      <c r="A73" s="57"/>
      <c r="B73" s="41"/>
      <c r="C73" s="57"/>
      <c r="D73" s="41"/>
      <c r="F73" s="50"/>
      <c r="G73" s="41"/>
      <c r="H73" s="41"/>
    </row>
    <row r="74">
      <c r="A74" s="57"/>
      <c r="B74" s="57"/>
      <c r="C74" s="50"/>
      <c r="D74" s="41"/>
      <c r="E74" s="41"/>
      <c r="F74" s="41"/>
      <c r="G74" s="41"/>
      <c r="H74" s="41"/>
    </row>
    <row r="75">
      <c r="A75" s="57"/>
      <c r="B75" s="57"/>
      <c r="C75" s="57"/>
      <c r="D75" s="41"/>
    </row>
    <row r="76">
      <c r="A76" s="57"/>
      <c r="B76" s="57"/>
      <c r="C76" s="41"/>
      <c r="D76" s="41"/>
    </row>
    <row r="77">
      <c r="A77" s="57"/>
      <c r="B77" s="57"/>
      <c r="C77" s="57"/>
      <c r="D77" s="41"/>
      <c r="F77" s="41"/>
      <c r="G77" s="41"/>
      <c r="H77" s="41"/>
    </row>
    <row r="78">
      <c r="A78" s="57"/>
      <c r="B78" s="57"/>
      <c r="C78" s="41"/>
      <c r="D78" s="41"/>
      <c r="F78" s="41"/>
      <c r="H78" s="41"/>
    </row>
    <row r="79">
      <c r="A79" s="57"/>
      <c r="B79" s="57"/>
      <c r="C79" s="41"/>
      <c r="D79" s="41"/>
      <c r="E79" s="41"/>
      <c r="F79" s="41"/>
      <c r="G79" s="41"/>
      <c r="H79" s="41"/>
    </row>
    <row r="80">
      <c r="A80" s="57"/>
      <c r="B80" s="57"/>
      <c r="C80" s="57"/>
      <c r="D80" s="41"/>
      <c r="F80" s="41"/>
      <c r="H80" s="41"/>
    </row>
    <row r="81">
      <c r="A81" s="57"/>
      <c r="B81" s="57"/>
      <c r="C81" s="41"/>
      <c r="D81" s="41"/>
    </row>
    <row r="82">
      <c r="A82" s="57"/>
      <c r="B82" s="57"/>
      <c r="C82" s="41"/>
      <c r="D82" s="41"/>
      <c r="F82" s="41"/>
      <c r="G82" s="41"/>
      <c r="H82" s="41"/>
    </row>
    <row r="83">
      <c r="A83" s="57"/>
      <c r="B83" s="57"/>
      <c r="C83" s="57"/>
      <c r="D83" s="41"/>
      <c r="F83" s="41"/>
      <c r="G83" s="41"/>
      <c r="H83" s="41"/>
    </row>
    <row r="84">
      <c r="A84" s="57"/>
      <c r="B84" s="57"/>
      <c r="C84" s="57"/>
      <c r="D84" s="41"/>
    </row>
    <row r="85">
      <c r="A85" s="57"/>
      <c r="B85" s="41"/>
      <c r="C85" s="57"/>
      <c r="D85" s="41"/>
      <c r="E85" s="41"/>
      <c r="F85" s="41"/>
      <c r="G85" s="41"/>
      <c r="H85" s="41"/>
    </row>
    <row r="86">
      <c r="A86" s="57"/>
      <c r="B86" s="57"/>
      <c r="C86" s="41"/>
      <c r="D86" s="41"/>
      <c r="E86" s="41"/>
      <c r="F86" s="41"/>
      <c r="G86" s="41"/>
      <c r="H86" s="41"/>
    </row>
    <row r="87">
      <c r="A87" s="57"/>
      <c r="B87" s="57"/>
      <c r="C87" s="57"/>
      <c r="D87" s="41"/>
    </row>
    <row r="88">
      <c r="A88" s="57"/>
      <c r="B88" s="41"/>
      <c r="C88" s="57"/>
      <c r="D88" s="41"/>
      <c r="E88" s="41"/>
      <c r="F88" s="41"/>
      <c r="G88" s="41"/>
      <c r="H88" s="41"/>
    </row>
    <row r="89">
      <c r="A89" s="57"/>
      <c r="B89" s="57"/>
      <c r="C89" s="41"/>
      <c r="D89" s="41"/>
      <c r="E89" s="41"/>
      <c r="F89" s="41"/>
      <c r="G89" s="41"/>
      <c r="H89" s="41"/>
    </row>
    <row r="90">
      <c r="A90" s="57"/>
      <c r="B90" s="57"/>
      <c r="C90" s="57"/>
      <c r="D90" s="41"/>
      <c r="H90" s="41"/>
    </row>
    <row r="91">
      <c r="A91" s="57"/>
      <c r="B91" s="57"/>
      <c r="C91" s="57"/>
      <c r="D91" s="41"/>
      <c r="F91" s="41"/>
      <c r="G91" s="41"/>
      <c r="H91" s="41"/>
    </row>
    <row r="92">
      <c r="A92" s="57"/>
      <c r="B92" s="41"/>
      <c r="C92" s="57"/>
      <c r="D92" s="41"/>
      <c r="E92" s="41"/>
      <c r="F92" s="41"/>
      <c r="G92" s="41"/>
      <c r="H92" s="41"/>
    </row>
    <row r="93">
      <c r="A93" s="57"/>
      <c r="B93" s="57"/>
      <c r="C93" s="41"/>
      <c r="D93" s="41"/>
      <c r="E93" s="41"/>
      <c r="F93" s="41"/>
      <c r="G93" s="41"/>
      <c r="H93" s="41"/>
    </row>
    <row r="94">
      <c r="A94" s="57"/>
      <c r="B94" s="57"/>
      <c r="C94" s="57"/>
      <c r="D94" s="41"/>
    </row>
    <row r="95">
      <c r="A95" s="57"/>
      <c r="B95" s="41"/>
      <c r="C95" s="57"/>
      <c r="D95" s="41"/>
      <c r="E95" s="41"/>
      <c r="F95" s="41"/>
      <c r="G95" s="41"/>
      <c r="H95" s="41"/>
    </row>
    <row r="96">
      <c r="A96" s="57"/>
      <c r="B96" s="57"/>
      <c r="C96" s="41"/>
      <c r="D96" s="41"/>
      <c r="E96" s="41"/>
      <c r="F96" s="41"/>
      <c r="G96" s="41"/>
      <c r="H96" s="41"/>
    </row>
    <row r="97">
      <c r="A97" s="57"/>
      <c r="B97" s="57"/>
      <c r="C97" s="57"/>
      <c r="D97" s="41"/>
      <c r="G97" s="41"/>
      <c r="H97" s="41"/>
    </row>
    <row r="98">
      <c r="A98" s="57"/>
      <c r="B98" s="57"/>
      <c r="C98" s="41"/>
      <c r="D98" s="41"/>
      <c r="E98" s="41"/>
      <c r="F98" s="41"/>
      <c r="G98" s="41"/>
      <c r="H98" s="41"/>
    </row>
    <row r="99">
      <c r="A99" s="57"/>
      <c r="B99" s="57"/>
      <c r="C99" s="57"/>
      <c r="D99" s="41"/>
      <c r="G99" s="41"/>
      <c r="H99" s="41"/>
    </row>
    <row r="100">
      <c r="A100" s="57"/>
      <c r="B100" s="57"/>
      <c r="C100" s="57"/>
      <c r="D100" s="41"/>
      <c r="G100" s="41"/>
      <c r="H100" s="41"/>
    </row>
    <row r="101">
      <c r="A101" s="57"/>
      <c r="B101" s="41"/>
      <c r="C101" s="57"/>
      <c r="D101" s="41"/>
      <c r="E101" s="41"/>
      <c r="F101" s="41"/>
      <c r="G101" s="41"/>
      <c r="H101" s="41"/>
    </row>
    <row r="102">
      <c r="A102" s="57"/>
      <c r="B102" s="57"/>
      <c r="C102" s="41"/>
      <c r="D102" s="41"/>
      <c r="E102" s="41"/>
      <c r="F102" s="41"/>
      <c r="G102" s="41"/>
      <c r="H102" s="41"/>
    </row>
    <row r="103">
      <c r="A103" s="57"/>
      <c r="B103" s="57"/>
      <c r="C103" s="57"/>
      <c r="D103" s="41"/>
      <c r="F103" s="41"/>
      <c r="G103" s="41"/>
      <c r="H103" s="41"/>
    </row>
    <row r="104">
      <c r="A104" s="57"/>
      <c r="B104" s="57"/>
      <c r="C104" s="41"/>
      <c r="D104" s="41"/>
      <c r="E104" s="41"/>
      <c r="F104" s="41"/>
      <c r="G104" s="41"/>
      <c r="H104" s="41"/>
    </row>
    <row r="105">
      <c r="A105" s="57"/>
      <c r="B105" s="57"/>
      <c r="C105" s="57"/>
      <c r="D105" s="41"/>
      <c r="E105" s="41"/>
      <c r="F105" s="41"/>
      <c r="G105" s="41"/>
      <c r="H105" s="41"/>
    </row>
    <row r="106">
      <c r="A106" s="57"/>
      <c r="B106" s="57"/>
      <c r="C106" s="41"/>
      <c r="D106" s="41"/>
      <c r="E106" s="41"/>
      <c r="F106" s="41"/>
      <c r="G106" s="41"/>
      <c r="H106" s="41"/>
    </row>
    <row r="107">
      <c r="A107" s="57"/>
      <c r="B107" s="57"/>
      <c r="C107" s="57"/>
      <c r="D107" s="41"/>
      <c r="H107" s="41"/>
    </row>
    <row r="108">
      <c r="A108" s="57"/>
      <c r="B108" s="41"/>
      <c r="C108" s="57"/>
      <c r="D108" s="41"/>
      <c r="E108" s="41"/>
      <c r="F108" s="41"/>
      <c r="G108" s="41"/>
      <c r="H108" s="41"/>
    </row>
    <row r="109">
      <c r="A109" s="57"/>
      <c r="B109" s="57"/>
      <c r="C109" s="41"/>
      <c r="D109" s="41"/>
      <c r="E109" s="41"/>
      <c r="F109" s="41"/>
      <c r="G109" s="41"/>
      <c r="H109" s="41"/>
    </row>
    <row r="110">
      <c r="A110" s="57"/>
      <c r="B110" s="57"/>
      <c r="C110" s="57"/>
      <c r="D110" s="41"/>
      <c r="H110" s="41"/>
    </row>
    <row r="111">
      <c r="A111" s="57"/>
      <c r="B111" s="57"/>
      <c r="C111" s="41"/>
      <c r="D111" s="41"/>
      <c r="E111" s="41"/>
      <c r="F111" s="41"/>
      <c r="G111" s="41"/>
      <c r="H111" s="41"/>
    </row>
    <row r="112">
      <c r="A112" s="57"/>
      <c r="B112" s="57"/>
      <c r="C112" s="57"/>
      <c r="D112" s="41"/>
      <c r="F112" s="41"/>
      <c r="G112" s="41"/>
      <c r="H112" s="41"/>
    </row>
    <row r="113">
      <c r="A113" s="57"/>
      <c r="B113" s="57"/>
      <c r="C113" s="57"/>
      <c r="D113" s="41"/>
      <c r="H113" s="41"/>
    </row>
    <row r="114">
      <c r="A114" s="57"/>
      <c r="B114" s="41"/>
      <c r="C114" s="57"/>
      <c r="D114" s="41"/>
      <c r="E114" s="41"/>
      <c r="F114" s="41"/>
      <c r="G114" s="41"/>
      <c r="H114" s="41"/>
    </row>
    <row r="115">
      <c r="A115" s="57"/>
      <c r="B115" s="57"/>
      <c r="C115" s="41"/>
      <c r="D115" s="41"/>
      <c r="E115" s="41"/>
      <c r="F115" s="41"/>
      <c r="G115" s="41"/>
      <c r="H115" s="41"/>
    </row>
    <row r="116">
      <c r="A116" s="57"/>
      <c r="B116" s="57"/>
      <c r="C116" s="57"/>
      <c r="D116" s="41"/>
      <c r="H116" s="41"/>
    </row>
    <row r="117">
      <c r="A117" s="57"/>
      <c r="B117" s="63"/>
      <c r="C117" s="41"/>
      <c r="D117" s="41"/>
      <c r="E117" s="41"/>
      <c r="F117" s="41"/>
      <c r="G117" s="41"/>
      <c r="H117" s="41"/>
    </row>
    <row r="118">
      <c r="A118" s="57"/>
      <c r="B118" s="57"/>
      <c r="C118" s="57"/>
      <c r="D118" s="41"/>
    </row>
    <row r="119">
      <c r="A119" s="57"/>
      <c r="B119" s="57"/>
      <c r="C119" s="41"/>
      <c r="D119" s="41"/>
      <c r="E119" s="41"/>
      <c r="F119" s="41"/>
      <c r="G119" s="41"/>
      <c r="H119" s="41"/>
    </row>
    <row r="120">
      <c r="A120" s="57"/>
      <c r="B120" s="57"/>
      <c r="C120" s="57"/>
      <c r="D120" s="41"/>
    </row>
    <row r="121">
      <c r="A121" s="57"/>
      <c r="B121" s="57"/>
      <c r="C121" s="41"/>
      <c r="D121" s="41"/>
      <c r="E121" s="41"/>
      <c r="F121" s="41"/>
      <c r="G121" s="41"/>
      <c r="H121" s="41"/>
    </row>
    <row r="122">
      <c r="A122" s="57"/>
      <c r="B122" s="57"/>
      <c r="C122" s="57"/>
      <c r="D122" s="41"/>
      <c r="G122" s="41"/>
      <c r="H122" s="41"/>
    </row>
    <row r="123">
      <c r="A123" s="57"/>
      <c r="B123" s="41"/>
      <c r="C123" s="57"/>
      <c r="D123" s="41"/>
      <c r="E123" s="41"/>
      <c r="F123" s="41"/>
      <c r="G123" s="41"/>
      <c r="H123" s="41"/>
    </row>
    <row r="124">
      <c r="A124" s="57"/>
      <c r="B124" s="57"/>
      <c r="C124" s="41"/>
      <c r="D124" s="41"/>
      <c r="E124" s="41"/>
      <c r="F124" s="41"/>
      <c r="G124" s="41"/>
      <c r="H124" s="41"/>
    </row>
    <row r="125">
      <c r="A125" s="57"/>
      <c r="B125" s="57"/>
      <c r="C125" s="57"/>
      <c r="D125" s="41"/>
      <c r="G125" s="41"/>
      <c r="H125" s="41"/>
    </row>
    <row r="126">
      <c r="A126" s="57"/>
      <c r="B126" s="41"/>
      <c r="C126" s="57"/>
      <c r="D126" s="41"/>
      <c r="E126" s="41"/>
      <c r="F126" s="41"/>
      <c r="G126" s="41"/>
      <c r="H126" s="41"/>
    </row>
    <row r="127">
      <c r="A127" s="57"/>
      <c r="B127" s="57"/>
      <c r="C127" s="41"/>
      <c r="D127" s="41"/>
      <c r="E127" s="41"/>
      <c r="F127" s="41"/>
      <c r="G127" s="41"/>
      <c r="H127" s="41"/>
    </row>
    <row r="128">
      <c r="A128" s="57"/>
      <c r="B128" s="57"/>
      <c r="C128" s="57"/>
      <c r="D128" s="41"/>
    </row>
    <row r="129">
      <c r="A129" s="57"/>
      <c r="B129" s="41"/>
      <c r="C129" s="57"/>
      <c r="D129" s="41"/>
      <c r="E129" s="41"/>
      <c r="F129" s="41"/>
      <c r="G129" s="41"/>
      <c r="H129" s="41"/>
    </row>
    <row r="130">
      <c r="A130" s="57"/>
      <c r="B130" s="57"/>
      <c r="C130" s="41"/>
      <c r="D130" s="41"/>
      <c r="E130" s="41"/>
      <c r="F130" s="41"/>
      <c r="G130" s="41"/>
      <c r="H130" s="41"/>
    </row>
    <row r="131">
      <c r="A131" s="57"/>
      <c r="B131" s="57"/>
      <c r="C131" s="57"/>
      <c r="D131" s="41"/>
      <c r="F131" s="41"/>
      <c r="G131" s="41"/>
      <c r="H131" s="41"/>
    </row>
    <row r="132">
      <c r="A132" s="57"/>
      <c r="B132" s="57"/>
      <c r="C132" s="41"/>
      <c r="D132" s="41"/>
      <c r="E132" s="41"/>
      <c r="F132" s="41"/>
      <c r="G132" s="41"/>
      <c r="H132" s="41"/>
    </row>
    <row r="133">
      <c r="A133" s="57"/>
      <c r="B133" s="57"/>
      <c r="C133" s="57"/>
      <c r="D133" s="41"/>
      <c r="G133" s="41"/>
      <c r="H133" s="41"/>
    </row>
    <row r="134">
      <c r="A134" s="57"/>
      <c r="B134" s="57"/>
      <c r="C134" s="41"/>
      <c r="D134" s="41"/>
      <c r="E134" s="41"/>
      <c r="F134" s="41"/>
      <c r="G134" s="41"/>
      <c r="H134" s="41"/>
    </row>
    <row r="135">
      <c r="A135" s="57"/>
      <c r="B135" s="57"/>
      <c r="C135" s="57"/>
      <c r="D135" s="41"/>
      <c r="G135" s="41"/>
      <c r="H135" s="41"/>
    </row>
    <row r="136">
      <c r="A136" s="57"/>
      <c r="B136" s="41"/>
      <c r="C136" s="57"/>
      <c r="D136" s="41"/>
      <c r="E136" s="41"/>
      <c r="F136" s="41"/>
      <c r="G136" s="41"/>
      <c r="H136" s="41"/>
    </row>
    <row r="137">
      <c r="A137" s="57"/>
      <c r="B137" s="57"/>
      <c r="C137" s="41"/>
      <c r="D137" s="41"/>
      <c r="E137" s="41"/>
      <c r="F137" s="41"/>
      <c r="G137" s="41"/>
      <c r="H137" s="41"/>
    </row>
    <row r="138">
      <c r="A138" s="57"/>
      <c r="B138" s="57"/>
      <c r="C138" s="41"/>
      <c r="D138" s="41"/>
      <c r="G138" s="41"/>
      <c r="H138" s="41"/>
    </row>
    <row r="139">
      <c r="A139" s="57"/>
      <c r="B139" s="57"/>
      <c r="C139" s="41"/>
      <c r="D139" s="41"/>
      <c r="E139" s="41"/>
      <c r="F139" s="41"/>
      <c r="G139" s="41"/>
      <c r="H139" s="41"/>
    </row>
    <row r="140">
      <c r="A140" s="57"/>
      <c r="B140" s="57"/>
      <c r="C140" s="57"/>
      <c r="D140" s="41"/>
      <c r="F140" s="41"/>
      <c r="G140" s="41"/>
      <c r="H140" s="41"/>
    </row>
    <row r="141">
      <c r="A141" s="63"/>
      <c r="B141" s="57"/>
      <c r="C141" s="57"/>
      <c r="D141" s="41"/>
    </row>
    <row r="142">
      <c r="A142" s="63"/>
      <c r="B142" s="57"/>
      <c r="C142" s="41"/>
      <c r="D142" s="41"/>
      <c r="E142" s="41"/>
      <c r="F142" s="41"/>
      <c r="G142" s="41"/>
      <c r="H142" s="41"/>
    </row>
    <row r="143">
      <c r="A143" s="63"/>
      <c r="B143" s="57"/>
      <c r="C143" s="57"/>
      <c r="D143" s="65"/>
    </row>
    <row r="144">
      <c r="A144" s="63"/>
      <c r="B144" s="57"/>
      <c r="C144" s="57"/>
      <c r="D144" s="41"/>
    </row>
    <row r="145">
      <c r="A145" s="63"/>
      <c r="B145" s="57"/>
      <c r="C145" s="57"/>
      <c r="D145" s="41"/>
      <c r="F145" s="41"/>
      <c r="H145" s="41"/>
    </row>
    <row r="146">
      <c r="A146" s="63"/>
      <c r="B146" s="57"/>
      <c r="C146" s="57"/>
      <c r="D146" s="41"/>
      <c r="F146" s="41"/>
      <c r="G146" s="41"/>
      <c r="H146" s="41"/>
    </row>
    <row r="147">
      <c r="A147" s="63"/>
      <c r="B147" s="57"/>
      <c r="C147" s="41"/>
      <c r="D147" s="41"/>
      <c r="E147" s="41"/>
      <c r="F147" s="41"/>
      <c r="G147" s="41"/>
      <c r="H147" s="41"/>
    </row>
    <row r="148">
      <c r="A148" s="63"/>
      <c r="B148" s="57"/>
      <c r="C148" s="57"/>
      <c r="D148" s="41"/>
    </row>
    <row r="149">
      <c r="A149" s="63"/>
      <c r="B149" s="57"/>
      <c r="C149" s="57"/>
      <c r="D149" s="41"/>
      <c r="F149" s="41"/>
      <c r="H149" s="41"/>
    </row>
    <row r="150">
      <c r="A150" s="63"/>
      <c r="B150" s="57"/>
      <c r="C150" s="57"/>
      <c r="D150" s="41"/>
      <c r="F150" s="41"/>
      <c r="H150" s="41"/>
    </row>
    <row r="151">
      <c r="A151" s="63"/>
      <c r="B151" s="57"/>
      <c r="C151" s="57"/>
      <c r="D151" s="41"/>
      <c r="F151" s="41"/>
      <c r="G151" s="41"/>
      <c r="H151" s="41"/>
    </row>
    <row r="152">
      <c r="A152" s="41"/>
      <c r="B152" s="57"/>
      <c r="C152" s="57"/>
      <c r="D152" s="41"/>
      <c r="E152" s="41"/>
      <c r="F152" s="41"/>
      <c r="G152" s="41"/>
      <c r="H152" s="41"/>
    </row>
    <row r="153">
      <c r="A153" s="63"/>
      <c r="B153" s="41"/>
      <c r="C153" s="57"/>
      <c r="D153" s="41"/>
      <c r="E153" s="41"/>
      <c r="F153" s="41"/>
      <c r="G153" s="41"/>
      <c r="H153" s="41"/>
    </row>
    <row r="154">
      <c r="A154" s="63"/>
      <c r="B154" s="57"/>
      <c r="C154" s="66"/>
    </row>
    <row r="155">
      <c r="A155" s="63"/>
      <c r="B155" s="41"/>
      <c r="C155" s="66"/>
      <c r="D155" s="66"/>
      <c r="E155" s="66"/>
      <c r="F155" s="66"/>
      <c r="G155" s="66"/>
      <c r="H155" s="66"/>
    </row>
    <row r="156">
      <c r="A156" s="63"/>
      <c r="B156" s="57"/>
      <c r="C156" s="66"/>
    </row>
    <row r="157">
      <c r="A157" s="63"/>
      <c r="B157" s="57"/>
      <c r="C157" s="66"/>
      <c r="D157" s="66"/>
      <c r="E157" s="66"/>
      <c r="F157" s="66"/>
      <c r="G157" s="66"/>
      <c r="H157" s="66"/>
    </row>
  </sheetData>
  <mergeCells count="95">
    <mergeCell ref="D77:E77"/>
    <mergeCell ref="D78:E78"/>
    <mergeCell ref="F78:G78"/>
    <mergeCell ref="D80:E80"/>
    <mergeCell ref="F80:G80"/>
    <mergeCell ref="D81:H81"/>
    <mergeCell ref="D82:E82"/>
    <mergeCell ref="D83:E83"/>
    <mergeCell ref="D84:H84"/>
    <mergeCell ref="D87:H87"/>
    <mergeCell ref="D90:G90"/>
    <mergeCell ref="D91:E91"/>
    <mergeCell ref="D94:H94"/>
    <mergeCell ref="D97:F97"/>
    <mergeCell ref="D99:F99"/>
    <mergeCell ref="D100:F100"/>
    <mergeCell ref="D103:E103"/>
    <mergeCell ref="D107:G107"/>
    <mergeCell ref="D110:G110"/>
    <mergeCell ref="D112:E112"/>
    <mergeCell ref="D113:G113"/>
    <mergeCell ref="D116:G116"/>
    <mergeCell ref="D118:H118"/>
    <mergeCell ref="D120:H120"/>
    <mergeCell ref="D122:F122"/>
    <mergeCell ref="D125:F125"/>
    <mergeCell ref="D128:H128"/>
    <mergeCell ref="D131:E131"/>
    <mergeCell ref="D133:F133"/>
    <mergeCell ref="D135:F135"/>
    <mergeCell ref="D138:F138"/>
    <mergeCell ref="D140:E140"/>
    <mergeCell ref="D141:H141"/>
    <mergeCell ref="D143:H143"/>
    <mergeCell ref="D144:H144"/>
    <mergeCell ref="D150:E150"/>
    <mergeCell ref="D151:E151"/>
    <mergeCell ref="C154:H154"/>
    <mergeCell ref="C156:H156"/>
    <mergeCell ref="D145:E145"/>
    <mergeCell ref="F145:G145"/>
    <mergeCell ref="D146:E146"/>
    <mergeCell ref="D148:H148"/>
    <mergeCell ref="D149:E149"/>
    <mergeCell ref="F149:G149"/>
    <mergeCell ref="F150:G150"/>
    <mergeCell ref="A1:G1"/>
    <mergeCell ref="C2:G2"/>
    <mergeCell ref="A3:D3"/>
    <mergeCell ref="B5:C5"/>
    <mergeCell ref="C6:H6"/>
    <mergeCell ref="C7:H7"/>
    <mergeCell ref="C9:H9"/>
    <mergeCell ref="D12:H12"/>
    <mergeCell ref="D13:H13"/>
    <mergeCell ref="D14:F14"/>
    <mergeCell ref="D16:H16"/>
    <mergeCell ref="E20:H20"/>
    <mergeCell ref="E22:H22"/>
    <mergeCell ref="D24:H24"/>
    <mergeCell ref="D25:E25"/>
    <mergeCell ref="D26:G26"/>
    <mergeCell ref="C27:E27"/>
    <mergeCell ref="D28:H28"/>
    <mergeCell ref="D30:E30"/>
    <mergeCell ref="D31:H31"/>
    <mergeCell ref="D32:H32"/>
    <mergeCell ref="D36:F36"/>
    <mergeCell ref="G36:H36"/>
    <mergeCell ref="D37:G37"/>
    <mergeCell ref="D38:F38"/>
    <mergeCell ref="D43:E43"/>
    <mergeCell ref="D44:F44"/>
    <mergeCell ref="D45:F45"/>
    <mergeCell ref="D48:G48"/>
    <mergeCell ref="D51:H51"/>
    <mergeCell ref="D52:E52"/>
    <mergeCell ref="D54:E54"/>
    <mergeCell ref="F54:H54"/>
    <mergeCell ref="D56:F56"/>
    <mergeCell ref="G56:H56"/>
    <mergeCell ref="D57:G57"/>
    <mergeCell ref="D58:F58"/>
    <mergeCell ref="D60:E60"/>
    <mergeCell ref="D61:F61"/>
    <mergeCell ref="D62:F62"/>
    <mergeCell ref="C63:H63"/>
    <mergeCell ref="D65:G65"/>
    <mergeCell ref="D68:H68"/>
    <mergeCell ref="D69:E69"/>
    <mergeCell ref="D71:E71"/>
    <mergeCell ref="F71:H71"/>
    <mergeCell ref="D73:E73"/>
    <mergeCell ref="D75:H75"/>
    <mergeCell ref="D76:H7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16.25"/>
  </cols>
  <sheetData>
    <row r="1">
      <c r="A1" s="27" t="s">
        <v>8</v>
      </c>
      <c r="H1" s="27"/>
    </row>
    <row r="2">
      <c r="A2" s="31" t="s">
        <v>5</v>
      </c>
      <c r="B2" s="34" t="s">
        <v>17</v>
      </c>
      <c r="C2" s="17"/>
      <c r="H2" s="17"/>
    </row>
    <row r="3">
      <c r="A3" s="20"/>
      <c r="E3" s="20"/>
      <c r="F3" s="40"/>
      <c r="G3" s="40"/>
      <c r="H3" s="40"/>
    </row>
    <row r="4">
      <c r="A4" s="25" t="s">
        <v>9</v>
      </c>
      <c r="B4" s="18"/>
      <c r="C4" s="18"/>
      <c r="D4" s="18"/>
      <c r="E4" s="18"/>
      <c r="F4" s="18"/>
      <c r="G4" s="18"/>
      <c r="H4" s="18"/>
    </row>
    <row r="5">
      <c r="A5" s="11"/>
      <c r="B5" s="25" t="s">
        <v>11</v>
      </c>
      <c r="D5" s="38" t="s">
        <v>33</v>
      </c>
    </row>
    <row r="6">
      <c r="A6" s="11"/>
      <c r="B6" s="18"/>
      <c r="C6" s="25" t="s">
        <v>12</v>
      </c>
    </row>
    <row r="7">
      <c r="A7" s="11"/>
      <c r="B7" s="11"/>
      <c r="C7" s="32" t="s">
        <v>14</v>
      </c>
    </row>
    <row r="8">
      <c r="A8" s="11"/>
      <c r="B8" s="25" t="s">
        <v>18</v>
      </c>
      <c r="C8" s="11"/>
      <c r="D8" s="11"/>
      <c r="E8" s="11"/>
      <c r="F8" s="11"/>
      <c r="G8" s="11"/>
      <c r="H8" s="11"/>
    </row>
    <row r="9">
      <c r="A9" s="11"/>
      <c r="B9" s="11"/>
      <c r="C9" s="25" t="s">
        <v>19</v>
      </c>
    </row>
    <row r="10">
      <c r="A10" s="25" t="s">
        <v>20</v>
      </c>
      <c r="B10" s="11"/>
      <c r="C10" s="11"/>
      <c r="D10" s="11"/>
      <c r="E10" s="11"/>
      <c r="F10" s="11"/>
      <c r="G10" s="11"/>
      <c r="H10" s="11"/>
    </row>
    <row r="11">
      <c r="A11" s="11"/>
      <c r="B11" s="11"/>
      <c r="C11" s="11"/>
      <c r="D11" s="11"/>
      <c r="E11" s="11"/>
      <c r="F11" s="11"/>
      <c r="G11" s="11"/>
      <c r="H11" s="11"/>
    </row>
    <row r="12">
      <c r="A12" s="11"/>
      <c r="B12" s="11"/>
      <c r="C12" s="11"/>
      <c r="D12" s="41"/>
    </row>
    <row r="13">
      <c r="A13" s="11"/>
      <c r="B13" s="11"/>
      <c r="C13" s="11"/>
      <c r="D13" s="11"/>
      <c r="E13" s="11"/>
      <c r="F13" s="11"/>
      <c r="G13" s="11"/>
      <c r="H13" s="11"/>
    </row>
    <row r="14">
      <c r="A14" s="25" t="s">
        <v>35</v>
      </c>
      <c r="B14" s="11"/>
      <c r="C14" s="11"/>
      <c r="D14" s="41"/>
      <c r="G14" s="18"/>
      <c r="H14" s="18"/>
    </row>
    <row r="15">
      <c r="A15" s="18"/>
      <c r="B15" s="25" t="s">
        <v>39</v>
      </c>
      <c r="C15" s="11"/>
      <c r="D15" s="11"/>
      <c r="E15" s="18"/>
      <c r="F15" s="18"/>
      <c r="G15" s="18"/>
      <c r="H15" s="18"/>
    </row>
    <row r="16">
      <c r="A16" s="11"/>
      <c r="B16" s="11"/>
      <c r="C16" s="25" t="s">
        <v>40</v>
      </c>
      <c r="D16" s="11"/>
      <c r="E16" s="11"/>
      <c r="F16" s="11"/>
      <c r="G16" s="11"/>
      <c r="H16" s="11"/>
    </row>
    <row r="17">
      <c r="A17" s="11"/>
      <c r="B17" s="11"/>
      <c r="C17" s="11"/>
      <c r="D17" s="25" t="s">
        <v>42</v>
      </c>
      <c r="E17" s="25" t="s">
        <v>44</v>
      </c>
    </row>
    <row r="18">
      <c r="A18" s="11"/>
      <c r="B18" s="11"/>
      <c r="C18" s="47" t="s">
        <v>45</v>
      </c>
      <c r="D18" s="11"/>
      <c r="E18" s="11"/>
      <c r="F18" s="11"/>
      <c r="G18" s="11"/>
      <c r="H18" s="11"/>
    </row>
    <row r="19">
      <c r="A19" s="11"/>
      <c r="B19" s="11"/>
      <c r="C19" s="11"/>
      <c r="D19" s="47" t="s">
        <v>42</v>
      </c>
      <c r="E19" s="49" t="s">
        <v>47</v>
      </c>
    </row>
    <row r="20">
      <c r="A20" s="18"/>
      <c r="B20" s="25" t="s">
        <v>49</v>
      </c>
      <c r="C20" s="11"/>
      <c r="D20" s="11"/>
      <c r="E20" s="11"/>
      <c r="F20" s="11"/>
      <c r="G20" s="11"/>
      <c r="H20" s="18"/>
    </row>
    <row r="21">
      <c r="A21" s="18"/>
      <c r="B21" s="11"/>
      <c r="C21" s="25" t="s">
        <v>51</v>
      </c>
      <c r="D21" s="50"/>
    </row>
    <row r="22">
      <c r="A22" s="18"/>
      <c r="B22" s="18"/>
      <c r="C22" s="11"/>
      <c r="D22" s="25" t="s">
        <v>55</v>
      </c>
      <c r="F22" s="18"/>
      <c r="G22" s="18"/>
      <c r="H22" s="18"/>
    </row>
    <row r="23">
      <c r="A23" s="11"/>
      <c r="B23" s="25" t="s">
        <v>56</v>
      </c>
      <c r="C23" s="11"/>
      <c r="D23" s="50"/>
      <c r="H23" s="11"/>
    </row>
    <row r="24">
      <c r="A24" s="11"/>
      <c r="B24" s="18"/>
      <c r="C24" s="47" t="s">
        <v>57</v>
      </c>
      <c r="F24" s="11"/>
      <c r="G24" s="18"/>
      <c r="H24" s="18"/>
    </row>
    <row r="25">
      <c r="A25" s="11"/>
      <c r="B25" s="11"/>
      <c r="C25" s="11"/>
      <c r="D25" s="25" t="s">
        <v>60</v>
      </c>
    </row>
    <row r="26">
      <c r="A26" s="11"/>
      <c r="B26" s="25" t="s">
        <v>61</v>
      </c>
      <c r="C26" s="11"/>
      <c r="D26" s="11"/>
      <c r="E26" s="11"/>
      <c r="F26" s="11"/>
      <c r="G26" s="11"/>
      <c r="H26" s="11"/>
    </row>
    <row r="27">
      <c r="A27" s="11"/>
      <c r="B27" s="11"/>
      <c r="C27" s="25" t="s">
        <v>30</v>
      </c>
      <c r="D27" s="41"/>
      <c r="F27" s="11"/>
      <c r="G27" s="11"/>
      <c r="H27" s="11"/>
    </row>
    <row r="28">
      <c r="A28" s="11"/>
      <c r="B28" s="11"/>
      <c r="C28" s="11"/>
      <c r="D28" s="32" t="s">
        <v>63</v>
      </c>
    </row>
    <row r="29">
      <c r="A29" s="11"/>
      <c r="B29" s="25" t="s">
        <v>64</v>
      </c>
      <c r="C29" s="11"/>
      <c r="D29" s="41"/>
    </row>
    <row r="30">
      <c r="A30" s="11"/>
      <c r="B30" s="11"/>
      <c r="C30" s="25" t="s">
        <v>65</v>
      </c>
      <c r="D30" s="11"/>
      <c r="E30" s="11"/>
      <c r="F30" s="11"/>
      <c r="G30" s="11"/>
      <c r="H30" s="18"/>
    </row>
    <row r="31">
      <c r="A31" s="11"/>
      <c r="B31" s="11"/>
      <c r="C31" s="11"/>
      <c r="D31" s="47" t="s">
        <v>67</v>
      </c>
      <c r="E31" s="11"/>
      <c r="F31" s="18"/>
      <c r="G31" s="18"/>
      <c r="H31" s="18"/>
    </row>
    <row r="32">
      <c r="A32" s="11"/>
      <c r="B32" s="25" t="s">
        <v>70</v>
      </c>
      <c r="C32" s="11"/>
      <c r="D32" s="11"/>
      <c r="E32" s="11"/>
      <c r="F32" s="11"/>
      <c r="G32" s="11"/>
      <c r="H32" s="18"/>
    </row>
    <row r="33">
      <c r="A33" s="11"/>
      <c r="B33" s="11"/>
      <c r="C33" s="25" t="s">
        <v>72</v>
      </c>
      <c r="D33" s="41"/>
      <c r="G33" s="41"/>
    </row>
    <row r="34">
      <c r="A34" s="11"/>
      <c r="B34" s="11"/>
      <c r="C34" s="11"/>
      <c r="D34" s="25" t="s">
        <v>75</v>
      </c>
      <c r="H34" s="11"/>
    </row>
    <row r="35">
      <c r="A35" s="11"/>
      <c r="B35" s="25" t="s">
        <v>85</v>
      </c>
      <c r="C35" s="11"/>
      <c r="D35" s="41"/>
      <c r="G35" s="11"/>
      <c r="H35" s="11"/>
    </row>
    <row r="36">
      <c r="A36" s="11"/>
      <c r="B36" s="11"/>
      <c r="C36" s="25" t="s">
        <v>87</v>
      </c>
      <c r="D36" s="11"/>
      <c r="E36" s="11"/>
      <c r="F36" s="11"/>
      <c r="G36" s="11"/>
      <c r="H36" s="11"/>
    </row>
    <row r="37">
      <c r="A37" s="11"/>
      <c r="B37" s="11"/>
      <c r="C37" s="11"/>
      <c r="D37" s="25" t="s">
        <v>90</v>
      </c>
      <c r="F37" s="18"/>
      <c r="G37" s="18"/>
      <c r="H37" s="18"/>
    </row>
    <row r="38">
      <c r="A38" s="41"/>
      <c r="B38" s="41"/>
      <c r="C38" s="41"/>
      <c r="D38" s="41"/>
      <c r="H38" s="57"/>
    </row>
    <row r="39">
      <c r="A39" s="41"/>
      <c r="B39" s="41"/>
      <c r="C39" s="41"/>
      <c r="D39" s="41"/>
      <c r="E39" s="41"/>
      <c r="F39" s="41"/>
      <c r="G39" s="41"/>
      <c r="H39" s="57"/>
    </row>
    <row r="40">
      <c r="A40" s="41"/>
      <c r="B40" s="41"/>
      <c r="C40" s="41"/>
      <c r="D40" s="41"/>
      <c r="G40" s="41"/>
      <c r="H40" s="57"/>
    </row>
    <row r="41">
      <c r="A41" s="41"/>
      <c r="B41" s="41"/>
      <c r="C41" s="41"/>
      <c r="D41" s="41"/>
      <c r="F41" s="57"/>
      <c r="G41" s="57"/>
      <c r="H41" s="57"/>
    </row>
    <row r="42">
      <c r="A42" s="41"/>
      <c r="B42" s="41"/>
      <c r="C42" s="41"/>
      <c r="D42" s="41"/>
      <c r="E42" s="41"/>
      <c r="F42" s="57"/>
      <c r="G42" s="57"/>
      <c r="H42" s="57"/>
    </row>
    <row r="43">
      <c r="A43" s="41"/>
      <c r="B43" s="41"/>
      <c r="C43" s="41"/>
      <c r="D43" s="41"/>
    </row>
    <row r="44">
      <c r="A44" s="41"/>
      <c r="B44" s="41"/>
      <c r="C44" s="41"/>
      <c r="D44" s="59"/>
      <c r="F44" s="57"/>
      <c r="G44" s="57"/>
      <c r="H44" s="57"/>
    </row>
    <row r="45">
      <c r="A45" s="41"/>
      <c r="B45" s="41"/>
      <c r="C45" s="41"/>
      <c r="D45" s="50"/>
      <c r="E45" s="41"/>
      <c r="F45" s="50"/>
      <c r="G45" s="57"/>
      <c r="H45" s="57"/>
    </row>
    <row r="46">
      <c r="A46" s="41"/>
      <c r="B46" s="41"/>
      <c r="C46" s="41"/>
      <c r="D46" s="41"/>
    </row>
    <row r="47">
      <c r="A47" s="41"/>
      <c r="B47" s="41"/>
      <c r="C47" s="41"/>
      <c r="D47" s="41"/>
      <c r="E47" s="41"/>
      <c r="F47" s="57"/>
      <c r="G47" s="57"/>
      <c r="H47" s="57"/>
    </row>
    <row r="48">
      <c r="A48" s="41"/>
      <c r="B48" s="41"/>
      <c r="C48" s="41"/>
      <c r="D48" s="50"/>
      <c r="E48" s="50"/>
      <c r="F48" s="50"/>
      <c r="G48" s="57"/>
      <c r="H48" s="57"/>
    </row>
    <row r="49">
      <c r="A49" s="41"/>
      <c r="B49" s="41"/>
      <c r="C49" s="41"/>
      <c r="D49" s="41"/>
      <c r="E49" s="41"/>
      <c r="F49" s="57"/>
      <c r="G49" s="57"/>
      <c r="H49" s="57"/>
    </row>
    <row r="50">
      <c r="A50" s="41"/>
      <c r="B50" s="41"/>
      <c r="C50" s="41"/>
      <c r="D50" s="41"/>
      <c r="G50" s="41"/>
    </row>
    <row r="51">
      <c r="A51" s="41"/>
      <c r="B51" s="41"/>
      <c r="C51" s="41"/>
      <c r="D51" s="41"/>
      <c r="H51" s="41"/>
    </row>
    <row r="52">
      <c r="A52" s="57"/>
      <c r="B52" s="41"/>
      <c r="C52" s="41"/>
      <c r="D52" s="41"/>
      <c r="G52" s="41"/>
      <c r="H52" s="41"/>
    </row>
    <row r="53">
      <c r="A53" s="57"/>
      <c r="B53" s="41"/>
      <c r="C53" s="41"/>
      <c r="D53" s="41"/>
      <c r="E53" s="41"/>
      <c r="F53" s="41"/>
      <c r="G53" s="41"/>
      <c r="H53" s="41"/>
    </row>
    <row r="54">
      <c r="A54" s="57"/>
      <c r="B54" s="57"/>
      <c r="C54" s="41"/>
      <c r="D54" s="41"/>
      <c r="F54" s="41"/>
      <c r="G54" s="41"/>
      <c r="H54" s="41"/>
    </row>
    <row r="55">
      <c r="A55" s="41"/>
      <c r="B55" s="41"/>
      <c r="C55" s="41"/>
      <c r="D55" s="41"/>
      <c r="G55" s="57"/>
      <c r="H55" s="57"/>
    </row>
    <row r="56">
      <c r="A56" s="41"/>
      <c r="B56" s="41"/>
      <c r="C56" s="41"/>
      <c r="D56" s="41"/>
      <c r="G56" s="57"/>
      <c r="H56" s="57"/>
    </row>
    <row r="57">
      <c r="A57" s="41"/>
      <c r="B57" s="41"/>
      <c r="C57" s="41"/>
    </row>
    <row r="58">
      <c r="A58" s="57"/>
      <c r="B58" s="41"/>
      <c r="C58" s="41"/>
      <c r="D58" s="41"/>
      <c r="E58" s="41"/>
      <c r="F58" s="41"/>
      <c r="G58" s="41"/>
      <c r="H58" s="41"/>
    </row>
    <row r="59">
      <c r="A59" s="41"/>
      <c r="B59" s="60"/>
      <c r="C59" s="41"/>
      <c r="D59" s="41"/>
      <c r="H59" s="41"/>
    </row>
    <row r="60">
      <c r="A60" s="41"/>
      <c r="B60" s="41"/>
      <c r="C60" s="41"/>
      <c r="D60" s="41"/>
      <c r="E60" s="41"/>
      <c r="F60" s="41"/>
      <c r="G60" s="41"/>
      <c r="H60" s="41"/>
    </row>
    <row r="61">
      <c r="A61" s="57"/>
      <c r="B61" s="57"/>
      <c r="C61" s="41"/>
      <c r="D61" s="41"/>
      <c r="E61" s="41"/>
      <c r="F61" s="41"/>
      <c r="G61" s="41"/>
      <c r="H61" s="41"/>
    </row>
    <row r="62">
      <c r="A62" s="57"/>
      <c r="B62" s="57"/>
      <c r="C62" s="41"/>
      <c r="D62" s="41"/>
    </row>
    <row r="63">
      <c r="A63" s="57"/>
      <c r="B63" s="41"/>
      <c r="C63" s="57"/>
      <c r="D63" s="41"/>
      <c r="F63" s="41"/>
      <c r="G63" s="41"/>
      <c r="H63" s="41"/>
    </row>
    <row r="64">
      <c r="A64" s="57"/>
      <c r="B64" s="57"/>
      <c r="C64" s="41"/>
      <c r="D64" s="41"/>
      <c r="E64" s="41"/>
      <c r="F64" s="41"/>
      <c r="G64" s="41"/>
      <c r="H64" s="41"/>
    </row>
    <row r="65">
      <c r="A65" s="57"/>
      <c r="B65" s="57"/>
      <c r="C65" s="57"/>
      <c r="D65" s="41"/>
      <c r="F65" s="41"/>
    </row>
    <row r="66">
      <c r="A66" s="41"/>
      <c r="B66" s="57"/>
      <c r="C66" s="50"/>
      <c r="D66" s="41"/>
      <c r="E66" s="41"/>
      <c r="F66" s="41"/>
      <c r="G66" s="41"/>
      <c r="H66" s="41"/>
    </row>
    <row r="67">
      <c r="A67" s="57"/>
      <c r="B67" s="41"/>
      <c r="C67" s="57"/>
      <c r="D67" s="41"/>
      <c r="F67" s="50"/>
      <c r="G67" s="41"/>
      <c r="H67" s="41"/>
    </row>
    <row r="68">
      <c r="A68" s="57"/>
      <c r="B68" s="57"/>
      <c r="C68" s="50"/>
      <c r="D68" s="41"/>
      <c r="E68" s="41"/>
      <c r="F68" s="41"/>
      <c r="G68" s="41"/>
      <c r="H68" s="41"/>
    </row>
    <row r="69">
      <c r="A69" s="57"/>
      <c r="B69" s="57"/>
      <c r="C69" s="57"/>
      <c r="D69" s="41"/>
    </row>
    <row r="70">
      <c r="A70" s="57"/>
      <c r="B70" s="57"/>
      <c r="C70" s="41"/>
      <c r="D70" s="41"/>
    </row>
    <row r="71">
      <c r="A71" s="57"/>
      <c r="B71" s="57"/>
      <c r="C71" s="57"/>
      <c r="D71" s="41"/>
      <c r="F71" s="41"/>
      <c r="G71" s="41"/>
      <c r="H71" s="41"/>
    </row>
    <row r="72">
      <c r="A72" s="57"/>
      <c r="B72" s="57"/>
      <c r="C72" s="41"/>
      <c r="D72" s="41"/>
      <c r="F72" s="41"/>
      <c r="H72" s="41"/>
    </row>
    <row r="73">
      <c r="A73" s="57"/>
      <c r="B73" s="57"/>
      <c r="C73" s="41"/>
      <c r="D73" s="41"/>
      <c r="E73" s="41"/>
      <c r="F73" s="41"/>
      <c r="G73" s="41"/>
      <c r="H73" s="41"/>
    </row>
    <row r="74">
      <c r="A74" s="57"/>
      <c r="B74" s="57"/>
      <c r="C74" s="57"/>
      <c r="D74" s="41"/>
      <c r="F74" s="41"/>
      <c r="H74" s="41"/>
    </row>
    <row r="75">
      <c r="A75" s="57"/>
      <c r="B75" s="57"/>
      <c r="C75" s="41"/>
      <c r="D75" s="41"/>
    </row>
    <row r="76">
      <c r="A76" s="57"/>
      <c r="B76" s="57"/>
      <c r="C76" s="41"/>
      <c r="D76" s="41"/>
      <c r="F76" s="41"/>
      <c r="G76" s="41"/>
      <c r="H76" s="41"/>
    </row>
    <row r="77">
      <c r="A77" s="57"/>
      <c r="B77" s="57"/>
      <c r="C77" s="57"/>
      <c r="D77" s="41"/>
      <c r="F77" s="41"/>
      <c r="G77" s="41"/>
      <c r="H77" s="41"/>
    </row>
    <row r="78">
      <c r="A78" s="57"/>
      <c r="B78" s="57"/>
      <c r="C78" s="57"/>
      <c r="D78" s="41"/>
    </row>
    <row r="79">
      <c r="A79" s="57"/>
      <c r="B79" s="41"/>
      <c r="C79" s="57"/>
      <c r="D79" s="41"/>
      <c r="E79" s="41"/>
      <c r="F79" s="41"/>
      <c r="G79" s="41"/>
      <c r="H79" s="41"/>
    </row>
    <row r="80">
      <c r="A80" s="57"/>
      <c r="B80" s="57"/>
      <c r="C80" s="41"/>
      <c r="D80" s="41"/>
      <c r="E80" s="41"/>
      <c r="F80" s="41"/>
      <c r="G80" s="41"/>
      <c r="H80" s="41"/>
    </row>
    <row r="81">
      <c r="A81" s="57"/>
      <c r="B81" s="57"/>
      <c r="C81" s="57"/>
      <c r="D81" s="41"/>
    </row>
    <row r="82">
      <c r="A82" s="57"/>
      <c r="B82" s="41"/>
      <c r="C82" s="57"/>
      <c r="D82" s="41"/>
      <c r="E82" s="41"/>
      <c r="F82" s="41"/>
      <c r="G82" s="41"/>
      <c r="H82" s="41"/>
    </row>
    <row r="83">
      <c r="A83" s="57"/>
      <c r="B83" s="57"/>
      <c r="C83" s="41"/>
      <c r="D83" s="41"/>
      <c r="E83" s="41"/>
      <c r="F83" s="41"/>
      <c r="G83" s="41"/>
      <c r="H83" s="41"/>
    </row>
    <row r="84">
      <c r="A84" s="57"/>
      <c r="B84" s="57"/>
      <c r="C84" s="57"/>
      <c r="D84" s="41"/>
      <c r="H84" s="41"/>
    </row>
    <row r="85">
      <c r="A85" s="57"/>
      <c r="B85" s="57"/>
      <c r="C85" s="57"/>
      <c r="D85" s="41"/>
      <c r="F85" s="41"/>
      <c r="G85" s="41"/>
      <c r="H85" s="41"/>
    </row>
    <row r="86">
      <c r="A86" s="57"/>
      <c r="B86" s="41"/>
      <c r="C86" s="57"/>
      <c r="D86" s="41"/>
      <c r="E86" s="41"/>
      <c r="F86" s="41"/>
      <c r="G86" s="41"/>
      <c r="H86" s="41"/>
    </row>
    <row r="87">
      <c r="A87" s="57"/>
      <c r="B87" s="57"/>
      <c r="C87" s="41"/>
      <c r="D87" s="41"/>
      <c r="E87" s="41"/>
      <c r="F87" s="41"/>
      <c r="G87" s="41"/>
      <c r="H87" s="41"/>
    </row>
    <row r="88">
      <c r="A88" s="57"/>
      <c r="B88" s="57"/>
      <c r="C88" s="57"/>
      <c r="D88" s="41"/>
    </row>
    <row r="89">
      <c r="A89" s="57"/>
      <c r="B89" s="41"/>
      <c r="C89" s="57"/>
      <c r="D89" s="41"/>
      <c r="E89" s="41"/>
      <c r="F89" s="41"/>
      <c r="G89" s="41"/>
      <c r="H89" s="41"/>
    </row>
    <row r="90">
      <c r="A90" s="57"/>
      <c r="B90" s="57"/>
      <c r="C90" s="41"/>
      <c r="D90" s="41"/>
      <c r="E90" s="41"/>
      <c r="F90" s="41"/>
      <c r="G90" s="41"/>
      <c r="H90" s="41"/>
    </row>
    <row r="91">
      <c r="A91" s="57"/>
      <c r="B91" s="57"/>
      <c r="C91" s="57"/>
      <c r="D91" s="41"/>
      <c r="G91" s="41"/>
      <c r="H91" s="41"/>
    </row>
    <row r="92">
      <c r="A92" s="57"/>
      <c r="B92" s="57"/>
      <c r="C92" s="41"/>
      <c r="D92" s="41"/>
      <c r="E92" s="41"/>
      <c r="F92" s="41"/>
      <c r="G92" s="41"/>
      <c r="H92" s="41"/>
    </row>
    <row r="93">
      <c r="A93" s="57"/>
      <c r="B93" s="57"/>
      <c r="C93" s="57"/>
      <c r="D93" s="41"/>
      <c r="G93" s="41"/>
      <c r="H93" s="41"/>
    </row>
    <row r="94">
      <c r="A94" s="57"/>
      <c r="B94" s="57"/>
      <c r="C94" s="57"/>
      <c r="D94" s="41"/>
      <c r="G94" s="41"/>
      <c r="H94" s="41"/>
    </row>
    <row r="95">
      <c r="A95" s="57"/>
      <c r="B95" s="41"/>
      <c r="C95" s="57"/>
      <c r="D95" s="41"/>
      <c r="E95" s="41"/>
      <c r="F95" s="41"/>
      <c r="G95" s="41"/>
      <c r="H95" s="41"/>
    </row>
    <row r="96">
      <c r="A96" s="57"/>
      <c r="B96" s="57"/>
      <c r="C96" s="41"/>
      <c r="D96" s="41"/>
      <c r="E96" s="41"/>
      <c r="F96" s="41"/>
      <c r="G96" s="41"/>
      <c r="H96" s="41"/>
    </row>
    <row r="97">
      <c r="A97" s="57"/>
      <c r="B97" s="57"/>
      <c r="C97" s="57"/>
      <c r="D97" s="41"/>
      <c r="F97" s="41"/>
      <c r="G97" s="41"/>
      <c r="H97" s="41"/>
    </row>
    <row r="98">
      <c r="A98" s="57"/>
      <c r="B98" s="57"/>
      <c r="C98" s="41"/>
      <c r="D98" s="41"/>
      <c r="E98" s="41"/>
      <c r="F98" s="41"/>
      <c r="G98" s="41"/>
      <c r="H98" s="41"/>
    </row>
    <row r="99">
      <c r="A99" s="57"/>
      <c r="B99" s="57"/>
      <c r="C99" s="57"/>
      <c r="D99" s="41"/>
      <c r="E99" s="41"/>
      <c r="F99" s="41"/>
      <c r="G99" s="41"/>
      <c r="H99" s="41"/>
    </row>
    <row r="100">
      <c r="A100" s="57"/>
      <c r="B100" s="57"/>
      <c r="C100" s="41"/>
      <c r="D100" s="41"/>
      <c r="E100" s="41"/>
      <c r="F100" s="41"/>
      <c r="G100" s="41"/>
      <c r="H100" s="41"/>
    </row>
    <row r="101">
      <c r="A101" s="57"/>
      <c r="B101" s="57"/>
      <c r="C101" s="57"/>
      <c r="D101" s="41"/>
      <c r="H101" s="41"/>
    </row>
    <row r="102">
      <c r="A102" s="57"/>
      <c r="B102" s="41"/>
      <c r="C102" s="57"/>
      <c r="D102" s="41"/>
      <c r="E102" s="41"/>
      <c r="F102" s="41"/>
      <c r="G102" s="41"/>
      <c r="H102" s="41"/>
    </row>
    <row r="103">
      <c r="A103" s="57"/>
      <c r="B103" s="57"/>
      <c r="C103" s="41"/>
      <c r="D103" s="41"/>
      <c r="E103" s="41"/>
      <c r="F103" s="41"/>
      <c r="G103" s="41"/>
      <c r="H103" s="41"/>
    </row>
    <row r="104">
      <c r="A104" s="57"/>
      <c r="B104" s="57"/>
      <c r="C104" s="57"/>
      <c r="D104" s="41"/>
      <c r="H104" s="41"/>
    </row>
    <row r="105">
      <c r="A105" s="57"/>
      <c r="B105" s="57"/>
      <c r="C105" s="41"/>
      <c r="D105" s="41"/>
      <c r="E105" s="41"/>
      <c r="F105" s="41"/>
      <c r="G105" s="41"/>
      <c r="H105" s="41"/>
    </row>
    <row r="106">
      <c r="A106" s="57"/>
      <c r="B106" s="57"/>
      <c r="C106" s="57"/>
      <c r="D106" s="41"/>
      <c r="F106" s="41"/>
      <c r="G106" s="41"/>
      <c r="H106" s="41"/>
    </row>
    <row r="107">
      <c r="A107" s="57"/>
      <c r="B107" s="57"/>
      <c r="C107" s="57"/>
      <c r="D107" s="41"/>
      <c r="H107" s="41"/>
    </row>
    <row r="108">
      <c r="A108" s="57"/>
      <c r="B108" s="41"/>
      <c r="C108" s="57"/>
      <c r="D108" s="41"/>
      <c r="E108" s="41"/>
      <c r="F108" s="41"/>
      <c r="G108" s="41"/>
      <c r="H108" s="41"/>
    </row>
    <row r="109">
      <c r="A109" s="57"/>
      <c r="B109" s="57"/>
      <c r="C109" s="41"/>
      <c r="D109" s="41"/>
      <c r="E109" s="41"/>
      <c r="F109" s="41"/>
      <c r="G109" s="41"/>
      <c r="H109" s="41"/>
    </row>
    <row r="110">
      <c r="A110" s="57"/>
      <c r="B110" s="57"/>
      <c r="C110" s="57"/>
      <c r="D110" s="41"/>
      <c r="H110" s="41"/>
    </row>
    <row r="111">
      <c r="A111" s="57"/>
      <c r="B111" s="63"/>
      <c r="C111" s="41"/>
      <c r="D111" s="41"/>
      <c r="E111" s="41"/>
      <c r="F111" s="41"/>
      <c r="G111" s="41"/>
      <c r="H111" s="41"/>
    </row>
    <row r="112">
      <c r="A112" s="57"/>
      <c r="B112" s="57"/>
      <c r="C112" s="57"/>
      <c r="D112" s="41"/>
    </row>
    <row r="113">
      <c r="A113" s="57"/>
      <c r="B113" s="57"/>
      <c r="C113" s="41"/>
      <c r="D113" s="41"/>
      <c r="E113" s="41"/>
      <c r="F113" s="41"/>
      <c r="G113" s="41"/>
      <c r="H113" s="41"/>
    </row>
    <row r="114">
      <c r="A114" s="57"/>
      <c r="B114" s="57"/>
      <c r="C114" s="57"/>
      <c r="D114" s="41"/>
    </row>
    <row r="115">
      <c r="A115" s="57"/>
      <c r="B115" s="57"/>
      <c r="C115" s="41"/>
      <c r="D115" s="41"/>
      <c r="E115" s="41"/>
      <c r="F115" s="41"/>
      <c r="G115" s="41"/>
      <c r="H115" s="41"/>
    </row>
    <row r="116">
      <c r="A116" s="57"/>
      <c r="B116" s="57"/>
      <c r="C116" s="57"/>
      <c r="D116" s="41"/>
      <c r="G116" s="41"/>
      <c r="H116" s="41"/>
    </row>
    <row r="117">
      <c r="A117" s="57"/>
      <c r="B117" s="41"/>
      <c r="C117" s="57"/>
      <c r="D117" s="41"/>
      <c r="E117" s="41"/>
      <c r="F117" s="41"/>
      <c r="G117" s="41"/>
      <c r="H117" s="41"/>
    </row>
    <row r="118">
      <c r="A118" s="57"/>
      <c r="B118" s="57"/>
      <c r="C118" s="41"/>
      <c r="D118" s="41"/>
      <c r="E118" s="41"/>
      <c r="F118" s="41"/>
      <c r="G118" s="41"/>
      <c r="H118" s="41"/>
    </row>
    <row r="119">
      <c r="A119" s="57"/>
      <c r="B119" s="57"/>
      <c r="C119" s="57"/>
      <c r="D119" s="41"/>
      <c r="G119" s="41"/>
      <c r="H119" s="41"/>
    </row>
    <row r="120">
      <c r="A120" s="57"/>
      <c r="B120" s="41"/>
      <c r="C120" s="57"/>
      <c r="D120" s="41"/>
      <c r="E120" s="41"/>
      <c r="F120" s="41"/>
      <c r="G120" s="41"/>
      <c r="H120" s="41"/>
    </row>
    <row r="121">
      <c r="A121" s="57"/>
      <c r="B121" s="57"/>
      <c r="C121" s="41"/>
      <c r="D121" s="41"/>
      <c r="E121" s="41"/>
      <c r="F121" s="41"/>
      <c r="G121" s="41"/>
      <c r="H121" s="41"/>
    </row>
    <row r="122">
      <c r="A122" s="57"/>
      <c r="B122" s="57"/>
      <c r="C122" s="57"/>
      <c r="D122" s="41"/>
    </row>
    <row r="123">
      <c r="A123" s="57"/>
      <c r="B123" s="41"/>
      <c r="C123" s="57"/>
      <c r="D123" s="41"/>
      <c r="E123" s="41"/>
      <c r="F123" s="41"/>
      <c r="G123" s="41"/>
      <c r="H123" s="41"/>
    </row>
    <row r="124">
      <c r="A124" s="57"/>
      <c r="B124" s="57"/>
      <c r="C124" s="41"/>
      <c r="D124" s="41"/>
      <c r="E124" s="41"/>
      <c r="F124" s="41"/>
      <c r="G124" s="41"/>
      <c r="H124" s="41"/>
    </row>
    <row r="125">
      <c r="A125" s="57"/>
      <c r="B125" s="57"/>
      <c r="C125" s="57"/>
      <c r="D125" s="41"/>
      <c r="F125" s="41"/>
      <c r="G125" s="41"/>
      <c r="H125" s="41"/>
    </row>
    <row r="126">
      <c r="A126" s="57"/>
      <c r="B126" s="57"/>
      <c r="C126" s="41"/>
      <c r="D126" s="41"/>
      <c r="E126" s="41"/>
      <c r="F126" s="41"/>
      <c r="G126" s="41"/>
      <c r="H126" s="41"/>
    </row>
    <row r="127">
      <c r="A127" s="57"/>
      <c r="B127" s="57"/>
      <c r="C127" s="57"/>
      <c r="D127" s="41"/>
      <c r="G127" s="41"/>
      <c r="H127" s="41"/>
    </row>
    <row r="128">
      <c r="A128" s="57"/>
      <c r="B128" s="57"/>
      <c r="C128" s="41"/>
      <c r="D128" s="41"/>
      <c r="E128" s="41"/>
      <c r="F128" s="41"/>
      <c r="G128" s="41"/>
      <c r="H128" s="41"/>
    </row>
    <row r="129">
      <c r="A129" s="57"/>
      <c r="B129" s="57"/>
      <c r="C129" s="57"/>
      <c r="D129" s="41"/>
      <c r="G129" s="41"/>
      <c r="H129" s="41"/>
    </row>
    <row r="130">
      <c r="A130" s="57"/>
      <c r="B130" s="41"/>
      <c r="C130" s="57"/>
      <c r="D130" s="41"/>
      <c r="E130" s="41"/>
      <c r="F130" s="41"/>
      <c r="G130" s="41"/>
      <c r="H130" s="41"/>
    </row>
    <row r="131">
      <c r="A131" s="57"/>
      <c r="B131" s="57"/>
      <c r="C131" s="41"/>
      <c r="D131" s="41"/>
      <c r="E131" s="41"/>
      <c r="F131" s="41"/>
      <c r="G131" s="41"/>
      <c r="H131" s="41"/>
    </row>
    <row r="132">
      <c r="A132" s="57"/>
      <c r="B132" s="57"/>
      <c r="C132" s="41"/>
      <c r="D132" s="41"/>
      <c r="G132" s="41"/>
      <c r="H132" s="41"/>
    </row>
    <row r="133">
      <c r="A133" s="57"/>
      <c r="B133" s="57"/>
      <c r="C133" s="41"/>
      <c r="D133" s="41"/>
      <c r="E133" s="41"/>
      <c r="F133" s="41"/>
      <c r="G133" s="41"/>
      <c r="H133" s="41"/>
    </row>
    <row r="134">
      <c r="A134" s="57"/>
      <c r="B134" s="57"/>
      <c r="C134" s="57"/>
      <c r="D134" s="41"/>
      <c r="F134" s="41"/>
      <c r="G134" s="41"/>
      <c r="H134" s="41"/>
    </row>
    <row r="135">
      <c r="A135" s="63"/>
      <c r="B135" s="57"/>
      <c r="C135" s="57"/>
      <c r="D135" s="41"/>
    </row>
    <row r="136">
      <c r="A136" s="63"/>
      <c r="B136" s="57"/>
      <c r="C136" s="41"/>
      <c r="D136" s="41"/>
      <c r="E136" s="41"/>
      <c r="F136" s="41"/>
      <c r="G136" s="41"/>
      <c r="H136" s="41"/>
    </row>
    <row r="137">
      <c r="A137" s="63"/>
      <c r="B137" s="57"/>
      <c r="C137" s="57"/>
      <c r="D137" s="65"/>
    </row>
    <row r="138">
      <c r="A138" s="63"/>
      <c r="B138" s="57"/>
      <c r="C138" s="57"/>
      <c r="D138" s="41"/>
    </row>
    <row r="139">
      <c r="A139" s="63"/>
      <c r="B139" s="57"/>
      <c r="C139" s="57"/>
      <c r="D139" s="41"/>
      <c r="F139" s="41"/>
      <c r="H139" s="41"/>
    </row>
    <row r="140">
      <c r="A140" s="63"/>
      <c r="B140" s="57"/>
      <c r="C140" s="57"/>
      <c r="D140" s="41"/>
      <c r="F140" s="41"/>
      <c r="G140" s="41"/>
      <c r="H140" s="41"/>
    </row>
    <row r="141">
      <c r="A141" s="63"/>
      <c r="B141" s="57"/>
      <c r="C141" s="41"/>
      <c r="D141" s="41"/>
      <c r="E141" s="41"/>
      <c r="F141" s="41"/>
      <c r="G141" s="41"/>
      <c r="H141" s="41"/>
    </row>
    <row r="142">
      <c r="A142" s="63"/>
      <c r="B142" s="57"/>
      <c r="C142" s="57"/>
      <c r="D142" s="41"/>
    </row>
    <row r="143">
      <c r="A143" s="63"/>
      <c r="B143" s="57"/>
      <c r="C143" s="57"/>
      <c r="D143" s="41"/>
      <c r="F143" s="41"/>
      <c r="H143" s="41"/>
    </row>
    <row r="144">
      <c r="A144" s="63"/>
      <c r="B144" s="57"/>
      <c r="C144" s="57"/>
      <c r="D144" s="41"/>
      <c r="F144" s="41"/>
      <c r="H144" s="41"/>
    </row>
    <row r="145">
      <c r="A145" s="63"/>
      <c r="B145" s="57"/>
      <c r="C145" s="57"/>
      <c r="D145" s="41"/>
      <c r="F145" s="41"/>
      <c r="G145" s="41"/>
      <c r="H145" s="41"/>
    </row>
    <row r="146">
      <c r="A146" s="41"/>
      <c r="B146" s="57"/>
      <c r="C146" s="57"/>
      <c r="D146" s="41"/>
      <c r="E146" s="41"/>
      <c r="F146" s="41"/>
      <c r="G146" s="41"/>
      <c r="H146" s="41"/>
    </row>
    <row r="147">
      <c r="A147" s="63"/>
      <c r="B147" s="41"/>
      <c r="C147" s="57"/>
      <c r="D147" s="41"/>
      <c r="E147" s="41"/>
      <c r="F147" s="41"/>
      <c r="G147" s="41"/>
      <c r="H147" s="41"/>
    </row>
    <row r="148">
      <c r="A148" s="63"/>
      <c r="B148" s="57"/>
      <c r="C148" s="66"/>
    </row>
    <row r="149">
      <c r="A149" s="63"/>
      <c r="B149" s="41"/>
      <c r="C149" s="66"/>
      <c r="D149" s="66"/>
      <c r="E149" s="66"/>
      <c r="F149" s="66"/>
      <c r="G149" s="66"/>
      <c r="H149" s="66"/>
    </row>
    <row r="150">
      <c r="A150" s="63"/>
      <c r="B150" s="57"/>
      <c r="C150" s="66"/>
    </row>
    <row r="151">
      <c r="A151" s="63"/>
      <c r="B151" s="57"/>
      <c r="C151" s="66"/>
      <c r="D151" s="66"/>
      <c r="E151" s="66"/>
      <c r="F151" s="66"/>
      <c r="G151" s="66"/>
      <c r="H151" s="66"/>
    </row>
  </sheetData>
  <mergeCells count="93">
    <mergeCell ref="D65:E65"/>
    <mergeCell ref="F65:H65"/>
    <mergeCell ref="D67:E67"/>
    <mergeCell ref="D69:H69"/>
    <mergeCell ref="D70:H70"/>
    <mergeCell ref="D71:E71"/>
    <mergeCell ref="F72:G72"/>
    <mergeCell ref="D72:E72"/>
    <mergeCell ref="D74:E74"/>
    <mergeCell ref="F74:G74"/>
    <mergeCell ref="D75:H75"/>
    <mergeCell ref="D76:E76"/>
    <mergeCell ref="D77:E77"/>
    <mergeCell ref="D78:H78"/>
    <mergeCell ref="D97:E97"/>
    <mergeCell ref="D101:G101"/>
    <mergeCell ref="D104:G104"/>
    <mergeCell ref="D106:E106"/>
    <mergeCell ref="D107:G107"/>
    <mergeCell ref="D110:G110"/>
    <mergeCell ref="D112:H112"/>
    <mergeCell ref="D114:H114"/>
    <mergeCell ref="D116:F116"/>
    <mergeCell ref="D119:F119"/>
    <mergeCell ref="D122:H122"/>
    <mergeCell ref="D125:E125"/>
    <mergeCell ref="D127:F127"/>
    <mergeCell ref="D129:F129"/>
    <mergeCell ref="D132:F132"/>
    <mergeCell ref="D134:E134"/>
    <mergeCell ref="D135:H135"/>
    <mergeCell ref="D137:H137"/>
    <mergeCell ref="D138:H138"/>
    <mergeCell ref="D139:E139"/>
    <mergeCell ref="F139:G139"/>
    <mergeCell ref="C148:H148"/>
    <mergeCell ref="C150:H150"/>
    <mergeCell ref="D140:E140"/>
    <mergeCell ref="D142:H142"/>
    <mergeCell ref="D143:E143"/>
    <mergeCell ref="F143:G143"/>
    <mergeCell ref="D144:E144"/>
    <mergeCell ref="F144:G144"/>
    <mergeCell ref="D145:E145"/>
    <mergeCell ref="A1:G1"/>
    <mergeCell ref="C2:G2"/>
    <mergeCell ref="A3:D3"/>
    <mergeCell ref="B5:C5"/>
    <mergeCell ref="D5:H5"/>
    <mergeCell ref="C6:H6"/>
    <mergeCell ref="C7:H7"/>
    <mergeCell ref="C9:H9"/>
    <mergeCell ref="D12:H12"/>
    <mergeCell ref="D14:F14"/>
    <mergeCell ref="E17:H17"/>
    <mergeCell ref="E19:H19"/>
    <mergeCell ref="D21:H21"/>
    <mergeCell ref="D22:E22"/>
    <mergeCell ref="D23:G23"/>
    <mergeCell ref="C24:E24"/>
    <mergeCell ref="D25:H25"/>
    <mergeCell ref="D27:E27"/>
    <mergeCell ref="D28:H28"/>
    <mergeCell ref="D29:H29"/>
    <mergeCell ref="G33:H33"/>
    <mergeCell ref="D33:F33"/>
    <mergeCell ref="D34:G34"/>
    <mergeCell ref="D35:F35"/>
    <mergeCell ref="D37:E37"/>
    <mergeCell ref="D38:G38"/>
    <mergeCell ref="D40:F40"/>
    <mergeCell ref="D41:E41"/>
    <mergeCell ref="D43:H43"/>
    <mergeCell ref="D44:E44"/>
    <mergeCell ref="D46:H46"/>
    <mergeCell ref="D50:F50"/>
    <mergeCell ref="G50:H50"/>
    <mergeCell ref="D51:G51"/>
    <mergeCell ref="D52:F52"/>
    <mergeCell ref="D54:E54"/>
    <mergeCell ref="D55:F55"/>
    <mergeCell ref="D56:F56"/>
    <mergeCell ref="C57:H57"/>
    <mergeCell ref="D59:G59"/>
    <mergeCell ref="D62:H62"/>
    <mergeCell ref="D63:E63"/>
    <mergeCell ref="D81:H81"/>
    <mergeCell ref="D84:G84"/>
    <mergeCell ref="D85:E85"/>
    <mergeCell ref="D88:H88"/>
    <mergeCell ref="D91:F91"/>
    <mergeCell ref="D93:F93"/>
    <mergeCell ref="D94:F9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14.25"/>
  </cols>
  <sheetData>
    <row r="1">
      <c r="A1" s="5" t="s">
        <v>8</v>
      </c>
      <c r="B1" s="7"/>
      <c r="C1" s="7"/>
      <c r="D1" s="7"/>
      <c r="E1" s="7"/>
      <c r="F1" s="7"/>
      <c r="G1" s="7"/>
      <c r="H1" s="11"/>
    </row>
    <row r="2">
      <c r="A2" s="13" t="s">
        <v>5</v>
      </c>
      <c r="B2" s="33">
        <v>42672.0</v>
      </c>
      <c r="C2" s="36"/>
      <c r="H2" s="18"/>
    </row>
    <row r="3">
      <c r="A3" s="20" t="s">
        <v>22</v>
      </c>
    </row>
    <row r="4">
      <c r="A4" s="25" t="s">
        <v>9</v>
      </c>
      <c r="B4" s="11"/>
      <c r="C4" s="11"/>
      <c r="D4" s="11"/>
      <c r="E4" s="18"/>
      <c r="F4" s="18"/>
      <c r="G4" s="18"/>
      <c r="H4" s="18"/>
    </row>
    <row r="5">
      <c r="A5" s="18"/>
      <c r="B5" s="25" t="s">
        <v>29</v>
      </c>
      <c r="D5" s="11"/>
      <c r="E5" s="18"/>
      <c r="F5" s="18"/>
      <c r="G5" s="18"/>
      <c r="H5" s="18"/>
    </row>
    <row r="6">
      <c r="A6" s="18"/>
      <c r="B6" s="11"/>
      <c r="C6" s="11"/>
      <c r="D6" s="25" t="s">
        <v>37</v>
      </c>
    </row>
    <row r="7">
      <c r="A7" s="11"/>
      <c r="B7" s="25" t="s">
        <v>38</v>
      </c>
      <c r="C7" s="11"/>
      <c r="D7" s="11"/>
      <c r="E7" s="18"/>
      <c r="F7" s="18"/>
      <c r="G7" s="18"/>
      <c r="H7" s="18"/>
    </row>
    <row r="8">
      <c r="A8" s="11"/>
      <c r="B8" s="11"/>
      <c r="C8" s="25" t="s">
        <v>41</v>
      </c>
      <c r="D8" s="38"/>
    </row>
    <row r="9">
      <c r="A9" s="11"/>
      <c r="B9" s="11"/>
      <c r="C9" s="11"/>
      <c r="D9" s="49" t="s">
        <v>46</v>
      </c>
    </row>
    <row r="10">
      <c r="A10" s="18"/>
      <c r="B10" s="25" t="s">
        <v>50</v>
      </c>
      <c r="C10" s="11"/>
      <c r="D10" s="11"/>
      <c r="E10" s="18"/>
      <c r="F10" s="18"/>
      <c r="G10" s="18"/>
      <c r="H10" s="18"/>
    </row>
    <row r="11">
      <c r="A11" s="11"/>
      <c r="B11" s="11"/>
      <c r="C11" s="49" t="s">
        <v>53</v>
      </c>
    </row>
    <row r="12">
      <c r="A12" s="11"/>
      <c r="B12" s="11"/>
      <c r="C12" s="11"/>
      <c r="D12" s="32"/>
    </row>
    <row r="13">
      <c r="A13" s="11"/>
      <c r="B13" s="11"/>
      <c r="C13" s="49" t="s">
        <v>62</v>
      </c>
    </row>
    <row r="14">
      <c r="A14" s="18"/>
      <c r="B14" s="11"/>
      <c r="C14" s="11"/>
      <c r="D14" s="11"/>
      <c r="E14" s="11"/>
      <c r="F14" s="11"/>
      <c r="G14" s="18"/>
      <c r="H14" s="18"/>
    </row>
    <row r="15">
      <c r="A15" s="49" t="s">
        <v>35</v>
      </c>
      <c r="B15" s="11"/>
      <c r="C15" s="11"/>
      <c r="D15" s="44"/>
      <c r="G15" s="18"/>
      <c r="H15" s="18"/>
    </row>
    <row r="16">
      <c r="A16" s="18"/>
      <c r="B16" s="25" t="s">
        <v>61</v>
      </c>
      <c r="C16" s="11"/>
      <c r="D16" s="44"/>
      <c r="H16" s="18"/>
    </row>
    <row r="17">
      <c r="A17" s="18"/>
      <c r="B17" s="11"/>
      <c r="C17" s="47" t="s">
        <v>66</v>
      </c>
      <c r="D17" s="11"/>
      <c r="E17" s="11"/>
      <c r="F17" s="11"/>
      <c r="G17" s="18"/>
      <c r="H17" s="18"/>
    </row>
    <row r="18">
      <c r="A18" s="11"/>
      <c r="B18" s="11"/>
      <c r="C18" s="11"/>
      <c r="D18" s="52" t="s">
        <v>77</v>
      </c>
      <c r="G18" s="18"/>
      <c r="H18" s="18"/>
    </row>
    <row r="19">
      <c r="A19" s="11"/>
      <c r="B19" s="11"/>
      <c r="C19" s="11"/>
      <c r="D19" s="47"/>
      <c r="E19" s="11"/>
      <c r="F19" s="11"/>
      <c r="G19" s="18"/>
      <c r="H19" s="18"/>
    </row>
    <row r="20">
      <c r="A20" s="18"/>
      <c r="B20" s="25" t="s">
        <v>84</v>
      </c>
      <c r="C20" s="11"/>
      <c r="D20" s="49"/>
    </row>
    <row r="21">
      <c r="A21" s="18"/>
      <c r="B21" s="11"/>
      <c r="C21" s="25" t="s">
        <v>66</v>
      </c>
      <c r="D21" s="11"/>
      <c r="E21" s="11"/>
      <c r="F21" s="18"/>
      <c r="G21" s="11"/>
      <c r="H21" s="18"/>
    </row>
    <row r="22">
      <c r="A22" s="18"/>
      <c r="B22" s="18"/>
      <c r="C22" s="11"/>
      <c r="D22" s="53" t="s">
        <v>91</v>
      </c>
      <c r="G22" s="18"/>
      <c r="H22" s="18"/>
    </row>
    <row r="23">
      <c r="A23" s="11"/>
      <c r="B23" s="18"/>
      <c r="C23" s="55" t="s">
        <v>95</v>
      </c>
      <c r="D23" s="11"/>
      <c r="E23" s="11"/>
      <c r="F23" s="11"/>
      <c r="G23" s="11"/>
      <c r="H23" s="11"/>
    </row>
    <row r="24">
      <c r="A24" s="11"/>
      <c r="B24" s="11"/>
      <c r="C24" s="11"/>
      <c r="D24" s="25" t="s">
        <v>99</v>
      </c>
      <c r="E24" s="11"/>
      <c r="F24" s="18"/>
      <c r="G24" s="18"/>
      <c r="H24" s="18"/>
    </row>
    <row r="25">
      <c r="A25" s="11"/>
      <c r="B25" s="11"/>
      <c r="C25" s="11"/>
      <c r="D25" s="18"/>
      <c r="E25" s="18"/>
      <c r="F25" s="18"/>
      <c r="G25" s="18"/>
      <c r="H25" s="18"/>
    </row>
    <row r="26">
      <c r="A26" s="11"/>
      <c r="B26" s="25" t="s">
        <v>85</v>
      </c>
      <c r="C26" s="11"/>
      <c r="D26" s="11"/>
      <c r="E26" s="11"/>
      <c r="F26" s="18"/>
      <c r="G26" s="18"/>
      <c r="H26" s="18"/>
    </row>
    <row r="27">
      <c r="A27" s="11"/>
      <c r="B27" s="11"/>
      <c r="C27" s="47" t="s">
        <v>66</v>
      </c>
      <c r="D27" s="32"/>
      <c r="H27" s="18"/>
    </row>
    <row r="28">
      <c r="A28" s="11"/>
      <c r="B28" s="11"/>
      <c r="C28" s="11"/>
      <c r="D28" s="56" t="s">
        <v>101</v>
      </c>
      <c r="E28" s="11"/>
      <c r="F28" s="18"/>
      <c r="G28" s="18"/>
      <c r="H28" s="18"/>
    </row>
    <row r="29">
      <c r="A29" s="11"/>
      <c r="B29" s="25" t="s">
        <v>102</v>
      </c>
      <c r="C29" s="11"/>
      <c r="D29" s="32"/>
    </row>
    <row r="30">
      <c r="A30" s="11"/>
      <c r="B30" s="11"/>
      <c r="C30" s="25" t="s">
        <v>103</v>
      </c>
      <c r="D30" s="25"/>
      <c r="F30" s="11"/>
      <c r="G30" s="18"/>
      <c r="H30" s="18"/>
    </row>
    <row r="31">
      <c r="A31" s="11"/>
      <c r="B31" s="11"/>
      <c r="C31" s="11"/>
      <c r="D31" s="25" t="s">
        <v>104</v>
      </c>
      <c r="H31" s="11"/>
    </row>
    <row r="32">
      <c r="A32" s="11"/>
      <c r="B32" s="11"/>
      <c r="C32" s="25" t="s">
        <v>105</v>
      </c>
      <c r="D32" s="25"/>
      <c r="F32" s="11"/>
      <c r="G32" s="18"/>
      <c r="H32" s="18"/>
    </row>
    <row r="33">
      <c r="A33" s="11"/>
      <c r="B33" s="11"/>
      <c r="C33" s="11"/>
      <c r="D33" s="25" t="s">
        <v>106</v>
      </c>
      <c r="E33" s="11"/>
      <c r="F33" s="11"/>
      <c r="G33" s="11"/>
      <c r="H33" s="11"/>
    </row>
    <row r="34">
      <c r="A34" s="11"/>
      <c r="B34" s="11"/>
      <c r="C34" s="25" t="s">
        <v>107</v>
      </c>
      <c r="D34" s="11"/>
      <c r="E34" s="11"/>
      <c r="F34" s="11"/>
      <c r="G34" s="11"/>
      <c r="H34" s="11"/>
    </row>
    <row r="35">
      <c r="A35" s="11"/>
      <c r="B35" s="25" t="s">
        <v>108</v>
      </c>
      <c r="C35" s="11"/>
      <c r="D35" s="25" t="s">
        <v>109</v>
      </c>
      <c r="F35" s="11"/>
      <c r="G35" s="11"/>
      <c r="H35" s="11"/>
    </row>
    <row r="36">
      <c r="A36" s="11"/>
      <c r="B36" s="18"/>
      <c r="C36" s="25" t="s">
        <v>110</v>
      </c>
      <c r="D36" s="11"/>
      <c r="E36" s="11"/>
      <c r="F36" s="18"/>
      <c r="G36" s="18"/>
      <c r="H36" s="18"/>
    </row>
    <row r="37">
      <c r="A37" s="11"/>
      <c r="B37" s="18"/>
      <c r="C37" s="11"/>
      <c r="D37" s="25" t="s">
        <v>111</v>
      </c>
    </row>
    <row r="38">
      <c r="A38" s="11"/>
      <c r="B38" s="25"/>
      <c r="C38" s="38" t="s">
        <v>112</v>
      </c>
      <c r="D38" s="11"/>
      <c r="E38" s="18"/>
      <c r="F38" s="18"/>
      <c r="G38" s="18"/>
      <c r="H38" s="18"/>
    </row>
    <row r="39">
      <c r="A39" s="11"/>
      <c r="B39" s="25"/>
      <c r="C39" s="11"/>
      <c r="D39" s="38" t="s">
        <v>113</v>
      </c>
    </row>
    <row r="40">
      <c r="A40" s="11"/>
      <c r="B40" s="25" t="s">
        <v>114</v>
      </c>
      <c r="C40" s="11"/>
      <c r="D40" s="11"/>
      <c r="E40" s="11"/>
      <c r="F40" s="11"/>
      <c r="G40" s="11"/>
      <c r="H40" s="11"/>
    </row>
    <row r="41">
      <c r="A41" s="18"/>
      <c r="B41" s="11"/>
      <c r="C41" s="25" t="s">
        <v>115</v>
      </c>
      <c r="D41" s="11"/>
      <c r="G41" s="11"/>
    </row>
    <row r="42">
      <c r="A42" s="18"/>
      <c r="B42" s="18"/>
      <c r="C42" s="11"/>
      <c r="D42" s="25" t="s">
        <v>116</v>
      </c>
      <c r="H42" s="11"/>
    </row>
    <row r="43">
      <c r="A43" s="18"/>
      <c r="B43" s="49" t="s">
        <v>118</v>
      </c>
      <c r="C43" s="11"/>
      <c r="D43" s="25"/>
      <c r="G43" s="11"/>
      <c r="H43" s="11"/>
    </row>
    <row r="44">
      <c r="A44" s="11"/>
      <c r="B44" s="11"/>
      <c r="C44" s="25" t="s">
        <v>120</v>
      </c>
      <c r="D44" s="11"/>
      <c r="E44" s="11"/>
      <c r="F44" s="11"/>
      <c r="G44" s="18"/>
      <c r="H44" s="18"/>
    </row>
    <row r="45">
      <c r="A45" s="18"/>
      <c r="B45" s="11"/>
      <c r="C45" s="11"/>
      <c r="D45" s="25" t="s">
        <v>122</v>
      </c>
      <c r="F45" s="11"/>
      <c r="G45" s="11"/>
      <c r="H45" s="18"/>
    </row>
    <row r="46">
      <c r="A46" s="18"/>
      <c r="B46" s="18"/>
      <c r="C46" s="25" t="s">
        <v>124</v>
      </c>
      <c r="D46" s="25"/>
      <c r="G46" s="18"/>
      <c r="H46" s="18"/>
    </row>
    <row r="47">
      <c r="A47" s="18"/>
      <c r="B47" s="11"/>
      <c r="C47" s="18"/>
      <c r="D47" s="25" t="s">
        <v>125</v>
      </c>
      <c r="G47" s="11"/>
      <c r="H47" s="18"/>
    </row>
    <row r="48">
      <c r="A48" s="18"/>
      <c r="B48" s="49" t="s">
        <v>127</v>
      </c>
      <c r="C48" s="25"/>
    </row>
    <row r="49">
      <c r="A49" s="18"/>
      <c r="B49" s="11"/>
      <c r="C49" s="49" t="s">
        <v>128</v>
      </c>
      <c r="D49" s="11"/>
      <c r="E49" s="11"/>
      <c r="F49" s="11"/>
      <c r="G49" s="11"/>
      <c r="H49" s="11"/>
    </row>
    <row r="50">
      <c r="A50" s="18"/>
      <c r="B50" s="11"/>
      <c r="C50" s="11"/>
      <c r="D50" s="49" t="s">
        <v>129</v>
      </c>
      <c r="H50" s="18"/>
    </row>
    <row r="51">
      <c r="A51" s="18"/>
      <c r="B51" s="25" t="s">
        <v>130</v>
      </c>
      <c r="C51" s="11"/>
      <c r="D51" s="11"/>
      <c r="E51" s="11"/>
      <c r="F51" s="11"/>
      <c r="G51" s="11"/>
      <c r="H51" s="11"/>
    </row>
    <row r="52">
      <c r="A52" s="18"/>
      <c r="B52" s="11"/>
      <c r="C52" s="25" t="s">
        <v>131</v>
      </c>
      <c r="D52" s="11"/>
      <c r="E52" s="18"/>
      <c r="F52" s="18"/>
      <c r="G52" s="18"/>
      <c r="H52" s="18"/>
    </row>
    <row r="53">
      <c r="A53" s="18"/>
      <c r="B53" s="11"/>
      <c r="C53" s="11"/>
      <c r="D53" s="25" t="s">
        <v>132</v>
      </c>
    </row>
  </sheetData>
  <mergeCells count="33">
    <mergeCell ref="A1:G1"/>
    <mergeCell ref="C2:G2"/>
    <mergeCell ref="A3:H3"/>
    <mergeCell ref="B5:C5"/>
    <mergeCell ref="D6:H6"/>
    <mergeCell ref="D8:H8"/>
    <mergeCell ref="D9:H9"/>
    <mergeCell ref="C11:H11"/>
    <mergeCell ref="D12:H12"/>
    <mergeCell ref="C13:H13"/>
    <mergeCell ref="D15:F15"/>
    <mergeCell ref="D16:G16"/>
    <mergeCell ref="D18:F18"/>
    <mergeCell ref="D20:H20"/>
    <mergeCell ref="D22:F22"/>
    <mergeCell ref="D27:G27"/>
    <mergeCell ref="D29:H29"/>
    <mergeCell ref="D30:E30"/>
    <mergeCell ref="D31:G31"/>
    <mergeCell ref="D32:E32"/>
    <mergeCell ref="D35:E35"/>
    <mergeCell ref="D46:F46"/>
    <mergeCell ref="D47:F47"/>
    <mergeCell ref="C48:H48"/>
    <mergeCell ref="D50:G50"/>
    <mergeCell ref="D53:H53"/>
    <mergeCell ref="D37:H37"/>
    <mergeCell ref="D39:H39"/>
    <mergeCell ref="D41:F41"/>
    <mergeCell ref="G41:H41"/>
    <mergeCell ref="D42:G42"/>
    <mergeCell ref="D43:F43"/>
    <mergeCell ref="D45:E4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14.25"/>
  </cols>
  <sheetData>
    <row r="1">
      <c r="A1" s="61" t="s">
        <v>73</v>
      </c>
      <c r="B1" s="7"/>
      <c r="C1" s="7"/>
      <c r="D1" s="7"/>
      <c r="E1" s="7"/>
      <c r="F1" s="7"/>
      <c r="G1" s="7"/>
      <c r="H1" s="11"/>
    </row>
    <row r="2">
      <c r="A2" s="13" t="s">
        <v>5</v>
      </c>
      <c r="B2" s="33">
        <v>42658.0</v>
      </c>
      <c r="C2" s="36" t="s">
        <v>117</v>
      </c>
      <c r="H2" s="18"/>
    </row>
    <row r="3">
      <c r="A3" s="20" t="s">
        <v>119</v>
      </c>
    </row>
    <row r="4">
      <c r="A4" s="25" t="s">
        <v>9</v>
      </c>
      <c r="B4" s="18"/>
      <c r="C4" s="18"/>
      <c r="D4" s="18"/>
      <c r="E4" s="18"/>
      <c r="F4" s="18"/>
      <c r="G4" s="18"/>
      <c r="H4" s="18"/>
    </row>
    <row r="5">
      <c r="A5" s="11"/>
      <c r="B5" s="25" t="s">
        <v>121</v>
      </c>
      <c r="D5" s="18"/>
      <c r="E5" s="18"/>
      <c r="F5" s="18"/>
      <c r="G5" s="18"/>
      <c r="H5" s="18"/>
    </row>
    <row r="6">
      <c r="A6" s="11"/>
      <c r="B6" s="18"/>
      <c r="C6" s="11"/>
      <c r="D6" s="56" t="s">
        <v>123</v>
      </c>
    </row>
    <row r="7">
      <c r="A7" s="11"/>
      <c r="B7" s="11"/>
      <c r="C7" s="11"/>
      <c r="D7" s="18"/>
      <c r="E7" s="18"/>
      <c r="F7" s="18"/>
      <c r="G7" s="18"/>
      <c r="H7" s="18"/>
    </row>
    <row r="8">
      <c r="A8" s="49" t="s">
        <v>20</v>
      </c>
      <c r="B8" s="11"/>
      <c r="C8" s="11"/>
      <c r="D8" s="11"/>
      <c r="E8" s="18"/>
      <c r="F8" s="18"/>
      <c r="G8" s="18"/>
      <c r="H8" s="18"/>
    </row>
    <row r="9">
      <c r="A9" s="18"/>
      <c r="B9" s="25" t="s">
        <v>21</v>
      </c>
      <c r="C9" s="11"/>
      <c r="D9" s="11"/>
      <c r="E9" s="18"/>
      <c r="F9" s="18"/>
      <c r="G9" s="18"/>
      <c r="H9" s="18"/>
    </row>
    <row r="10">
      <c r="A10" s="11"/>
      <c r="B10" s="11"/>
      <c r="C10" s="49" t="s">
        <v>126</v>
      </c>
    </row>
    <row r="11">
      <c r="A11" s="11"/>
      <c r="B11" s="11"/>
      <c r="C11" s="11"/>
      <c r="D11" s="11"/>
      <c r="E11" s="18"/>
      <c r="F11" s="18"/>
      <c r="G11" s="18"/>
      <c r="H11" s="18"/>
    </row>
    <row r="12">
      <c r="A12" s="49" t="s">
        <v>35</v>
      </c>
      <c r="B12" s="11"/>
      <c r="C12" s="11"/>
      <c r="D12" s="11"/>
      <c r="E12" s="18"/>
      <c r="F12" s="18"/>
      <c r="G12" s="18"/>
      <c r="H12" s="18"/>
    </row>
    <row r="13">
      <c r="A13" s="18"/>
      <c r="B13" s="25" t="s">
        <v>114</v>
      </c>
      <c r="C13" s="11"/>
      <c r="D13" s="49"/>
      <c r="H13" s="18"/>
    </row>
    <row r="14">
      <c r="A14" s="18"/>
      <c r="B14" s="11"/>
      <c r="C14" s="25" t="s">
        <v>133</v>
      </c>
      <c r="D14" s="11"/>
      <c r="E14" s="11"/>
      <c r="F14" s="18"/>
      <c r="G14" s="11"/>
      <c r="H14" s="18"/>
    </row>
    <row r="15">
      <c r="A15" s="18"/>
      <c r="B15" s="18"/>
      <c r="C15" s="11"/>
      <c r="D15" s="47" t="s">
        <v>134</v>
      </c>
      <c r="E15" s="11"/>
      <c r="F15" s="18"/>
      <c r="G15" s="18"/>
      <c r="H15" s="18"/>
    </row>
    <row r="16">
      <c r="A16" s="11"/>
      <c r="B16" s="49" t="s">
        <v>118</v>
      </c>
      <c r="C16" s="11"/>
      <c r="D16" s="52"/>
    </row>
    <row r="17">
      <c r="A17" s="11"/>
      <c r="B17" s="11"/>
      <c r="C17" s="25" t="s">
        <v>135</v>
      </c>
      <c r="D17" s="11"/>
      <c r="E17" s="11"/>
      <c r="F17" s="18"/>
      <c r="G17" s="18"/>
      <c r="H17" s="18"/>
    </row>
    <row r="18">
      <c r="A18" s="11"/>
      <c r="B18" s="11"/>
      <c r="C18" s="11"/>
      <c r="D18" s="49" t="s">
        <v>136</v>
      </c>
      <c r="G18" s="18"/>
      <c r="H18" s="18"/>
    </row>
    <row r="19">
      <c r="A19" s="11"/>
      <c r="B19" s="11"/>
      <c r="C19" s="47" t="s">
        <v>137</v>
      </c>
      <c r="D19" s="11"/>
      <c r="E19" s="11"/>
      <c r="F19" s="18"/>
      <c r="G19" s="18"/>
      <c r="H19" s="18"/>
    </row>
    <row r="20">
      <c r="A20" s="11"/>
      <c r="B20" s="11"/>
      <c r="C20" s="11"/>
      <c r="D20" s="32" t="s">
        <v>138</v>
      </c>
      <c r="H20" s="18"/>
    </row>
    <row r="21">
      <c r="A21" s="11"/>
      <c r="B21" s="11"/>
      <c r="C21" s="25" t="s">
        <v>139</v>
      </c>
      <c r="D21" s="11"/>
      <c r="E21" s="11"/>
      <c r="F21" s="18"/>
      <c r="G21" s="18"/>
      <c r="H21" s="18"/>
    </row>
    <row r="22">
      <c r="A22" s="11"/>
      <c r="B22" s="11"/>
      <c r="C22" s="11"/>
      <c r="D22" s="32" t="s">
        <v>140</v>
      </c>
    </row>
    <row r="23">
      <c r="A23" s="11"/>
      <c r="B23" s="38" t="s">
        <v>70</v>
      </c>
      <c r="C23" s="39"/>
      <c r="D23" s="25"/>
      <c r="F23" s="39"/>
      <c r="G23" s="8"/>
      <c r="H23" s="8"/>
    </row>
    <row r="24">
      <c r="A24" s="11"/>
      <c r="B24" s="11"/>
      <c r="C24" s="38" t="s">
        <v>78</v>
      </c>
      <c r="D24" s="39"/>
      <c r="E24" s="39"/>
      <c r="F24" s="8"/>
      <c r="G24" s="8"/>
      <c r="H24" s="8"/>
    </row>
    <row r="25">
      <c r="A25" s="11"/>
      <c r="B25" s="18"/>
      <c r="C25" s="39"/>
      <c r="D25" s="44" t="s">
        <v>142</v>
      </c>
      <c r="F25" s="8"/>
      <c r="G25" s="8"/>
      <c r="H25" s="8"/>
    </row>
    <row r="26">
      <c r="A26" s="11"/>
      <c r="B26" s="18"/>
      <c r="C26" s="44" t="s">
        <v>143</v>
      </c>
      <c r="D26" s="39"/>
      <c r="E26" s="39"/>
      <c r="F26" s="39"/>
      <c r="G26" s="39"/>
      <c r="H26" s="39"/>
    </row>
    <row r="27">
      <c r="A27" s="11"/>
      <c r="B27" s="11"/>
      <c r="C27" s="39"/>
      <c r="D27" s="64" t="s">
        <v>145</v>
      </c>
      <c r="F27" s="39"/>
      <c r="G27" s="39"/>
      <c r="H27" s="39"/>
    </row>
    <row r="28">
      <c r="A28" s="18"/>
      <c r="B28" s="25"/>
      <c r="C28" s="38" t="s">
        <v>147</v>
      </c>
      <c r="D28" s="39"/>
      <c r="E28" s="39"/>
      <c r="F28" s="39"/>
      <c r="G28" s="39"/>
      <c r="H28" s="39"/>
    </row>
    <row r="29">
      <c r="A29" s="18"/>
      <c r="B29" s="18"/>
      <c r="C29" s="25"/>
      <c r="D29" s="41" t="s">
        <v>149</v>
      </c>
      <c r="F29" s="39"/>
      <c r="G29" s="39"/>
      <c r="H29" s="39"/>
    </row>
    <row r="30">
      <c r="A30" s="18"/>
      <c r="B30" s="18"/>
      <c r="C30" s="38" t="s">
        <v>72</v>
      </c>
      <c r="D30" s="25"/>
      <c r="E30" s="39"/>
      <c r="F30" s="39"/>
      <c r="G30" s="39"/>
      <c r="H30" s="39"/>
    </row>
    <row r="31">
      <c r="A31" s="11"/>
      <c r="B31" s="11"/>
      <c r="C31" s="39"/>
      <c r="D31" s="44" t="s">
        <v>153</v>
      </c>
      <c r="G31" s="57"/>
    </row>
    <row r="32">
      <c r="A32" s="18"/>
      <c r="B32" s="25"/>
      <c r="C32" s="38" t="s">
        <v>66</v>
      </c>
      <c r="D32" s="39"/>
      <c r="E32" s="39"/>
      <c r="F32" s="39"/>
      <c r="G32" s="39"/>
      <c r="H32" s="8"/>
    </row>
    <row r="33">
      <c r="A33" s="18"/>
      <c r="B33" s="18"/>
      <c r="C33" s="25"/>
      <c r="D33" s="50" t="s">
        <v>156</v>
      </c>
      <c r="G33" s="8"/>
      <c r="H33" s="8"/>
    </row>
    <row r="34">
      <c r="A34" s="18"/>
      <c r="B34" s="11"/>
      <c r="C34" s="8"/>
      <c r="D34" s="44" t="s">
        <v>159</v>
      </c>
      <c r="F34" s="39"/>
      <c r="G34" s="39"/>
      <c r="H34" s="8"/>
    </row>
  </sheetData>
  <mergeCells count="19">
    <mergeCell ref="A1:G1"/>
    <mergeCell ref="C2:G2"/>
    <mergeCell ref="A3:H3"/>
    <mergeCell ref="B5:C5"/>
    <mergeCell ref="D6:H6"/>
    <mergeCell ref="C10:H10"/>
    <mergeCell ref="D13:G13"/>
    <mergeCell ref="D29:E29"/>
    <mergeCell ref="D31:F31"/>
    <mergeCell ref="G31:H31"/>
    <mergeCell ref="D33:F33"/>
    <mergeCell ref="D34:E34"/>
    <mergeCell ref="D16:H16"/>
    <mergeCell ref="D18:F18"/>
    <mergeCell ref="D20:G20"/>
    <mergeCell ref="D22:H22"/>
    <mergeCell ref="D23:E23"/>
    <mergeCell ref="D25:E25"/>
    <mergeCell ref="D27:E2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14.25"/>
  </cols>
  <sheetData>
    <row r="1">
      <c r="A1" s="5" t="s">
        <v>68</v>
      </c>
      <c r="B1" s="7"/>
      <c r="C1" s="7"/>
      <c r="D1" s="7"/>
      <c r="E1" s="7"/>
      <c r="F1" s="7"/>
      <c r="G1" s="7"/>
      <c r="H1" s="11"/>
    </row>
    <row r="2">
      <c r="A2" s="13" t="s">
        <v>5</v>
      </c>
      <c r="B2" s="62" t="s">
        <v>141</v>
      </c>
      <c r="C2" s="36" t="s">
        <v>117</v>
      </c>
      <c r="H2" s="18"/>
    </row>
    <row r="3">
      <c r="A3" s="20" t="s">
        <v>144</v>
      </c>
    </row>
    <row r="4">
      <c r="A4" s="25" t="s">
        <v>20</v>
      </c>
      <c r="B4" s="11"/>
      <c r="C4" s="18"/>
      <c r="D4" s="41"/>
      <c r="F4" s="18"/>
      <c r="G4" s="18"/>
      <c r="H4" s="18"/>
    </row>
    <row r="5">
      <c r="A5" s="18"/>
      <c r="B5" s="25" t="s">
        <v>146</v>
      </c>
      <c r="C5" s="11"/>
      <c r="D5" s="11"/>
      <c r="E5" s="18"/>
      <c r="F5" s="18"/>
      <c r="G5" s="18"/>
      <c r="H5" s="18"/>
    </row>
    <row r="6">
      <c r="A6" s="18"/>
      <c r="B6" s="11"/>
      <c r="C6" s="25" t="s">
        <v>148</v>
      </c>
      <c r="D6" s="11"/>
      <c r="E6" s="18"/>
      <c r="F6" s="18"/>
      <c r="G6" s="18"/>
      <c r="H6" s="18"/>
    </row>
    <row r="7">
      <c r="A7" s="11"/>
      <c r="B7" s="11"/>
      <c r="C7" s="11"/>
      <c r="D7" s="32" t="s">
        <v>150</v>
      </c>
    </row>
    <row r="8">
      <c r="A8" s="11"/>
      <c r="B8" s="11"/>
      <c r="C8" s="25" t="s">
        <v>151</v>
      </c>
      <c r="D8" s="11"/>
      <c r="E8" s="18"/>
      <c r="F8" s="18"/>
      <c r="G8" s="18"/>
      <c r="H8" s="18"/>
    </row>
    <row r="9">
      <c r="A9" s="11"/>
      <c r="B9" s="11"/>
      <c r="C9" s="11"/>
      <c r="D9" s="32" t="s">
        <v>152</v>
      </c>
    </row>
    <row r="10">
      <c r="A10" s="18"/>
      <c r="B10" s="25" t="s">
        <v>154</v>
      </c>
      <c r="C10" s="11"/>
      <c r="D10" s="11"/>
      <c r="E10" s="18"/>
      <c r="F10" s="18"/>
      <c r="G10" s="18"/>
      <c r="H10" s="18"/>
    </row>
    <row r="11">
      <c r="A11" s="18"/>
      <c r="B11" s="11"/>
      <c r="C11" s="47" t="s">
        <v>155</v>
      </c>
      <c r="D11" s="11"/>
      <c r="E11" s="18"/>
      <c r="F11" s="18"/>
      <c r="G11" s="18"/>
      <c r="H11" s="18"/>
    </row>
    <row r="12">
      <c r="A12" s="18"/>
      <c r="B12" s="11"/>
      <c r="C12" s="11"/>
      <c r="D12" s="49" t="s">
        <v>157</v>
      </c>
      <c r="H12" s="18"/>
    </row>
    <row r="13">
      <c r="A13" s="18"/>
      <c r="B13" s="25" t="s">
        <v>158</v>
      </c>
      <c r="C13" s="11"/>
      <c r="D13" s="11"/>
      <c r="E13" s="11"/>
      <c r="F13" s="18"/>
      <c r="G13" s="11"/>
      <c r="H13" s="18"/>
    </row>
    <row r="14">
      <c r="A14" s="18"/>
      <c r="B14" s="18"/>
      <c r="C14" s="25" t="s">
        <v>160</v>
      </c>
      <c r="D14" s="11"/>
      <c r="E14" s="11"/>
      <c r="F14" s="18"/>
      <c r="G14" s="18"/>
      <c r="H14" s="18"/>
    </row>
    <row r="15">
      <c r="A15" s="11"/>
      <c r="B15" s="18"/>
      <c r="C15" s="11"/>
      <c r="D15" s="52" t="s">
        <v>161</v>
      </c>
    </row>
    <row r="16">
      <c r="A16" s="25" t="s">
        <v>35</v>
      </c>
      <c r="B16" s="11"/>
      <c r="C16" s="11"/>
      <c r="D16" s="11"/>
      <c r="E16" s="11"/>
      <c r="F16" s="18"/>
      <c r="G16" s="18"/>
      <c r="H16" s="18"/>
    </row>
    <row r="17">
      <c r="A17" s="11"/>
      <c r="B17" s="25" t="s">
        <v>162</v>
      </c>
      <c r="C17" s="11"/>
      <c r="D17" s="11"/>
      <c r="E17" s="11"/>
      <c r="F17" s="18"/>
      <c r="G17" s="18"/>
      <c r="H17" s="18"/>
    </row>
    <row r="18">
      <c r="A18" s="11"/>
      <c r="B18" s="11"/>
      <c r="C18" s="47" t="s">
        <v>163</v>
      </c>
      <c r="D18" s="11"/>
      <c r="E18" s="11"/>
      <c r="F18" s="18"/>
      <c r="G18" s="18"/>
      <c r="H18" s="18"/>
    </row>
    <row r="19">
      <c r="A19" s="11"/>
      <c r="B19" s="11"/>
      <c r="C19" s="11"/>
      <c r="D19" s="47" t="s">
        <v>164</v>
      </c>
      <c r="E19" s="11"/>
      <c r="F19" s="18"/>
      <c r="G19" s="18"/>
      <c r="H19" s="18"/>
    </row>
    <row r="20">
      <c r="A20" s="11"/>
      <c r="B20" s="25" t="s">
        <v>85</v>
      </c>
      <c r="C20" s="11"/>
      <c r="D20" s="11"/>
      <c r="E20" s="11"/>
      <c r="F20" s="18"/>
      <c r="G20" s="18"/>
      <c r="H20" s="18"/>
    </row>
    <row r="21">
      <c r="A21" s="11"/>
      <c r="B21" s="11"/>
      <c r="C21" s="25" t="s">
        <v>87</v>
      </c>
      <c r="D21" s="11"/>
      <c r="E21" s="11"/>
      <c r="F21" s="18"/>
      <c r="G21" s="18"/>
      <c r="H21" s="18"/>
    </row>
    <row r="22">
      <c r="A22" s="11"/>
      <c r="B22" s="11"/>
      <c r="C22" s="11"/>
      <c r="D22" s="25" t="s">
        <v>165</v>
      </c>
      <c r="F22" s="11"/>
      <c r="G22" s="18"/>
      <c r="H22" s="18"/>
    </row>
    <row r="23">
      <c r="A23" s="11"/>
      <c r="B23" s="11"/>
      <c r="C23" s="25" t="s">
        <v>166</v>
      </c>
      <c r="D23" s="11"/>
      <c r="E23" s="11"/>
      <c r="F23" s="18"/>
      <c r="G23" s="18"/>
      <c r="H23" s="18"/>
    </row>
    <row r="24">
      <c r="A24" s="11"/>
      <c r="B24" s="18"/>
      <c r="C24" s="11"/>
      <c r="D24" s="25" t="s">
        <v>167</v>
      </c>
      <c r="F24" s="18"/>
      <c r="G24" s="18"/>
      <c r="H24" s="18"/>
    </row>
    <row r="25">
      <c r="A25" s="11"/>
      <c r="B25" s="18"/>
      <c r="C25" s="25" t="s">
        <v>168</v>
      </c>
      <c r="D25" s="11"/>
      <c r="E25" s="11"/>
      <c r="F25" s="11"/>
      <c r="G25" s="11"/>
      <c r="H25" s="11"/>
    </row>
    <row r="26">
      <c r="A26" s="11"/>
      <c r="B26" s="11"/>
      <c r="C26" s="11"/>
      <c r="D26" s="64" t="s">
        <v>169</v>
      </c>
      <c r="F26" s="11"/>
      <c r="G26" s="11"/>
      <c r="H26" s="11"/>
    </row>
    <row r="27">
      <c r="A27" s="18"/>
      <c r="B27" s="25" t="s">
        <v>56</v>
      </c>
      <c r="C27" s="11"/>
      <c r="D27" s="11"/>
      <c r="E27" s="11"/>
      <c r="F27" s="11"/>
      <c r="G27" s="11"/>
      <c r="H27" s="11"/>
    </row>
    <row r="28">
      <c r="A28" s="18"/>
      <c r="B28" s="18"/>
      <c r="C28" s="25" t="s">
        <v>170</v>
      </c>
      <c r="D28" s="41"/>
      <c r="F28" s="11"/>
      <c r="G28" s="11"/>
      <c r="H28" s="11"/>
    </row>
    <row r="29">
      <c r="A29" s="18"/>
      <c r="B29" s="18"/>
      <c r="C29" s="11"/>
      <c r="D29" s="25" t="s">
        <v>171</v>
      </c>
      <c r="E29" s="11"/>
      <c r="F29" s="11"/>
      <c r="G29" s="11"/>
      <c r="H29" s="11"/>
    </row>
    <row r="30">
      <c r="A30" s="11"/>
      <c r="B30" s="11"/>
      <c r="C30" s="11"/>
      <c r="D30" s="44" t="s">
        <v>173</v>
      </c>
      <c r="G30" s="57"/>
    </row>
    <row r="31">
      <c r="A31" s="18"/>
      <c r="B31" s="25" t="s">
        <v>130</v>
      </c>
      <c r="C31" s="11"/>
      <c r="D31" s="11"/>
      <c r="E31" s="11"/>
      <c r="F31" s="11"/>
      <c r="G31" s="11"/>
      <c r="H31" s="18"/>
    </row>
    <row r="32">
      <c r="A32" s="18"/>
      <c r="B32" s="18"/>
      <c r="C32" s="25" t="s">
        <v>174</v>
      </c>
      <c r="D32" s="50"/>
      <c r="G32" s="18"/>
      <c r="H32" s="18"/>
    </row>
    <row r="33">
      <c r="A33" s="18"/>
      <c r="B33" s="11"/>
      <c r="C33" s="18"/>
      <c r="D33" s="25" t="s">
        <v>176</v>
      </c>
      <c r="E33" s="11"/>
      <c r="F33" s="11"/>
      <c r="G33" s="11"/>
      <c r="H33" s="18"/>
    </row>
    <row r="34">
      <c r="A34" s="18"/>
      <c r="B34" s="18"/>
      <c r="C34" s="25" t="s">
        <v>177</v>
      </c>
      <c r="D34" s="41"/>
      <c r="F34" s="11"/>
      <c r="G34" s="11"/>
      <c r="H34" s="11"/>
    </row>
    <row r="35">
      <c r="A35" s="18"/>
      <c r="B35" s="11"/>
      <c r="C35" s="18"/>
      <c r="D35" s="25" t="s">
        <v>178</v>
      </c>
      <c r="G35" s="11"/>
      <c r="H35" s="11"/>
    </row>
    <row r="36">
      <c r="A36" s="18"/>
      <c r="B36" s="11"/>
      <c r="C36" s="11"/>
      <c r="D36" s="49" t="s">
        <v>180</v>
      </c>
      <c r="G36" s="18"/>
      <c r="H36" s="18"/>
    </row>
    <row r="37">
      <c r="A37" s="18"/>
      <c r="B37" s="11"/>
      <c r="C37" s="11"/>
      <c r="D37" s="49" t="s">
        <v>181</v>
      </c>
    </row>
    <row r="38">
      <c r="A38" s="18"/>
      <c r="B38" s="11"/>
      <c r="C38" s="25" t="s">
        <v>183</v>
      </c>
      <c r="D38" s="11"/>
      <c r="E38" s="18"/>
      <c r="F38" s="18"/>
      <c r="G38" s="18"/>
      <c r="H38" s="18"/>
    </row>
    <row r="39">
      <c r="A39" s="18"/>
      <c r="B39" s="11"/>
      <c r="C39" s="11"/>
      <c r="D39" s="47" t="s">
        <v>185</v>
      </c>
      <c r="G39" s="11"/>
      <c r="H39" s="11"/>
    </row>
    <row r="40">
      <c r="A40" s="18"/>
      <c r="B40" s="25" t="s">
        <v>39</v>
      </c>
      <c r="C40" s="11"/>
      <c r="D40" s="11"/>
      <c r="E40" s="18"/>
      <c r="F40" s="18"/>
      <c r="G40" s="18"/>
      <c r="H40" s="18"/>
    </row>
    <row r="41">
      <c r="A41" s="18"/>
      <c r="B41" s="18"/>
      <c r="C41" s="25" t="s">
        <v>40</v>
      </c>
      <c r="D41" s="41"/>
    </row>
    <row r="42">
      <c r="A42" s="18"/>
      <c r="B42" s="18"/>
      <c r="C42" s="11"/>
      <c r="D42" s="25" t="s">
        <v>189</v>
      </c>
    </row>
    <row r="43">
      <c r="A43" s="18"/>
      <c r="B43" s="25" t="s">
        <v>61</v>
      </c>
      <c r="C43" s="18"/>
      <c r="D43" s="11"/>
      <c r="E43" s="11"/>
      <c r="F43" s="11"/>
      <c r="G43" s="11"/>
      <c r="H43" s="11"/>
    </row>
    <row r="44">
      <c r="A44" s="18"/>
      <c r="B44" s="11"/>
      <c r="C44" s="25" t="s">
        <v>191</v>
      </c>
      <c r="D44" s="11"/>
      <c r="E44" s="11"/>
      <c r="F44" s="11"/>
      <c r="G44" s="11"/>
      <c r="H44" s="11"/>
    </row>
    <row r="45">
      <c r="A45" s="11"/>
      <c r="B45" s="11"/>
      <c r="C45" s="11"/>
      <c r="D45" s="25" t="s">
        <v>193</v>
      </c>
      <c r="F45" s="11"/>
      <c r="G45" s="11"/>
      <c r="H45" s="18"/>
    </row>
    <row r="46">
      <c r="A46" s="11"/>
      <c r="B46" s="11"/>
      <c r="C46" s="25" t="s">
        <v>195</v>
      </c>
      <c r="D46" s="11"/>
      <c r="E46" s="18"/>
      <c r="F46" s="18"/>
      <c r="G46" s="18"/>
      <c r="H46" s="18"/>
    </row>
    <row r="47">
      <c r="A47" s="11"/>
      <c r="B47" s="18"/>
      <c r="C47" s="11"/>
      <c r="D47" s="25" t="s">
        <v>198</v>
      </c>
      <c r="F47" s="11"/>
      <c r="G47" s="11"/>
      <c r="H47" s="11"/>
    </row>
    <row r="48">
      <c r="A48" s="11"/>
      <c r="B48" s="18"/>
      <c r="C48" s="11"/>
      <c r="D48" s="25" t="s">
        <v>178</v>
      </c>
      <c r="G48" s="11"/>
      <c r="H48" s="11"/>
    </row>
    <row r="49">
      <c r="A49" s="11"/>
      <c r="B49" s="11"/>
      <c r="C49" s="49" t="s">
        <v>201</v>
      </c>
      <c r="D49" s="11"/>
      <c r="E49" s="11"/>
      <c r="F49" s="11"/>
      <c r="G49" s="11"/>
      <c r="H49" s="11"/>
    </row>
    <row r="50">
      <c r="A50" s="11"/>
      <c r="B50" s="18"/>
      <c r="C50" s="11"/>
      <c r="D50" s="49" t="s">
        <v>205</v>
      </c>
      <c r="F50" s="18"/>
      <c r="G50" s="18"/>
      <c r="H50" s="18"/>
    </row>
    <row r="51">
      <c r="A51" s="11"/>
      <c r="B51" s="49" t="s">
        <v>49</v>
      </c>
      <c r="C51" s="18"/>
      <c r="D51" s="74"/>
    </row>
    <row r="52">
      <c r="A52" s="11"/>
      <c r="B52" s="11"/>
      <c r="C52" s="25" t="s">
        <v>211</v>
      </c>
      <c r="D52" s="11"/>
      <c r="E52" s="11"/>
      <c r="F52" s="11"/>
      <c r="G52" s="11"/>
      <c r="H52" s="11"/>
    </row>
    <row r="53">
      <c r="A53" s="11"/>
      <c r="B53" s="11"/>
      <c r="C53" s="11"/>
      <c r="D53" s="25" t="s">
        <v>214</v>
      </c>
      <c r="G53" s="11"/>
      <c r="H53" s="11"/>
    </row>
    <row r="54">
      <c r="A54" s="18"/>
      <c r="B54" s="49" t="s">
        <v>92</v>
      </c>
      <c r="C54" s="11"/>
      <c r="D54" s="11"/>
      <c r="E54" s="11"/>
      <c r="F54" s="11"/>
      <c r="G54" s="11"/>
      <c r="H54" s="11"/>
    </row>
    <row r="55">
      <c r="A55" s="18"/>
      <c r="B55" s="18"/>
      <c r="C55" s="25" t="s">
        <v>218</v>
      </c>
      <c r="D55" s="11"/>
      <c r="E55" s="11"/>
      <c r="F55" s="11"/>
      <c r="G55" s="11"/>
      <c r="H55" s="11"/>
    </row>
    <row r="56">
      <c r="A56" s="18"/>
      <c r="B56" s="11"/>
      <c r="C56" s="18"/>
      <c r="D56" s="25" t="s">
        <v>222</v>
      </c>
    </row>
  </sheetData>
  <mergeCells count="29">
    <mergeCell ref="A1:G1"/>
    <mergeCell ref="C2:G2"/>
    <mergeCell ref="A3:H3"/>
    <mergeCell ref="D4:E4"/>
    <mergeCell ref="D7:H7"/>
    <mergeCell ref="D9:H9"/>
    <mergeCell ref="D12:G12"/>
    <mergeCell ref="D15:H15"/>
    <mergeCell ref="D22:E22"/>
    <mergeCell ref="D24:E24"/>
    <mergeCell ref="D26:E26"/>
    <mergeCell ref="D28:E28"/>
    <mergeCell ref="D30:F30"/>
    <mergeCell ref="G30:H30"/>
    <mergeCell ref="D42:H42"/>
    <mergeCell ref="D45:E45"/>
    <mergeCell ref="D47:E47"/>
    <mergeCell ref="D48:F48"/>
    <mergeCell ref="D50:E50"/>
    <mergeCell ref="D51:H51"/>
    <mergeCell ref="D53:F53"/>
    <mergeCell ref="D56:H56"/>
    <mergeCell ref="D32:F32"/>
    <mergeCell ref="D34:E34"/>
    <mergeCell ref="D35:F35"/>
    <mergeCell ref="D36:F36"/>
    <mergeCell ref="D37:H37"/>
    <mergeCell ref="D39:F39"/>
    <mergeCell ref="D41:H4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14.25"/>
  </cols>
  <sheetData>
    <row r="1">
      <c r="A1" s="27" t="s">
        <v>58</v>
      </c>
      <c r="H1" s="27"/>
    </row>
    <row r="2">
      <c r="A2" s="31" t="s">
        <v>5</v>
      </c>
      <c r="B2" s="67" t="s">
        <v>172</v>
      </c>
      <c r="C2" s="17"/>
      <c r="H2" s="17"/>
    </row>
    <row r="3">
      <c r="A3" s="20" t="s">
        <v>175</v>
      </c>
    </row>
    <row r="4">
      <c r="A4" s="41" t="s">
        <v>9</v>
      </c>
      <c r="B4" s="57"/>
      <c r="C4" s="57"/>
      <c r="D4" s="57"/>
      <c r="E4" s="57"/>
      <c r="F4" s="57"/>
      <c r="G4" s="57"/>
      <c r="H4" s="57"/>
    </row>
    <row r="5">
      <c r="A5" s="41"/>
      <c r="B5" s="41"/>
      <c r="C5" s="41" t="s">
        <v>179</v>
      </c>
      <c r="D5" s="57"/>
      <c r="E5" s="57"/>
      <c r="F5" s="57"/>
      <c r="G5" s="57"/>
      <c r="H5" s="57"/>
    </row>
    <row r="6">
      <c r="A6" s="41"/>
      <c r="B6" s="57"/>
      <c r="C6" s="41"/>
      <c r="D6" s="41" t="s">
        <v>182</v>
      </c>
    </row>
    <row r="7">
      <c r="A7" s="41"/>
      <c r="B7" s="41"/>
      <c r="C7" s="41" t="s">
        <v>184</v>
      </c>
      <c r="D7" s="57"/>
      <c r="E7" s="57"/>
      <c r="F7" s="57"/>
      <c r="G7" s="57"/>
      <c r="H7" s="57"/>
    </row>
    <row r="8">
      <c r="A8" s="41"/>
      <c r="B8" s="41"/>
      <c r="C8" s="41"/>
      <c r="D8" s="41" t="s">
        <v>186</v>
      </c>
    </row>
    <row r="9">
      <c r="A9" s="41"/>
      <c r="B9" s="41"/>
      <c r="C9" s="25" t="s">
        <v>187</v>
      </c>
      <c r="D9" s="11"/>
      <c r="E9" s="41"/>
      <c r="F9" s="41"/>
      <c r="G9" s="41"/>
      <c r="H9" s="41"/>
    </row>
    <row r="10">
      <c r="A10" s="41"/>
      <c r="B10" s="41"/>
      <c r="C10" s="11"/>
      <c r="D10" s="47" t="s">
        <v>188</v>
      </c>
      <c r="E10" s="41"/>
      <c r="F10" s="41"/>
      <c r="G10" s="41"/>
      <c r="H10" s="41"/>
    </row>
    <row r="11">
      <c r="A11" s="41"/>
      <c r="B11" s="41"/>
      <c r="C11" s="41"/>
      <c r="D11" s="41"/>
      <c r="E11" s="41"/>
      <c r="F11" s="41"/>
      <c r="G11" s="41"/>
      <c r="H11" s="41"/>
    </row>
    <row r="12">
      <c r="A12" s="41" t="s">
        <v>190</v>
      </c>
      <c r="B12" s="41"/>
      <c r="C12" s="41"/>
      <c r="D12" s="41"/>
    </row>
    <row r="13">
      <c r="A13" s="41"/>
      <c r="B13" s="41" t="s">
        <v>146</v>
      </c>
      <c r="C13" s="57"/>
      <c r="D13" s="41"/>
      <c r="F13" s="57"/>
      <c r="G13" s="57"/>
      <c r="H13" s="57"/>
    </row>
    <row r="14">
      <c r="A14" s="57"/>
      <c r="B14" s="41"/>
      <c r="C14" s="50" t="s">
        <v>197</v>
      </c>
      <c r="D14" s="41"/>
      <c r="E14" s="57"/>
      <c r="F14" s="57"/>
      <c r="G14" s="57"/>
      <c r="H14" s="57"/>
    </row>
    <row r="15">
      <c r="A15" s="57"/>
      <c r="B15" s="41"/>
      <c r="C15" s="41" t="s">
        <v>151</v>
      </c>
      <c r="D15" s="41"/>
      <c r="E15" s="57"/>
      <c r="F15" s="57"/>
      <c r="G15" s="57"/>
      <c r="H15" s="57"/>
    </row>
    <row r="16">
      <c r="A16" s="41"/>
      <c r="B16" s="41"/>
      <c r="C16" s="41"/>
      <c r="D16" s="50" t="s">
        <v>202</v>
      </c>
      <c r="E16" s="57"/>
      <c r="F16" s="57"/>
      <c r="G16" s="57"/>
      <c r="H16" s="57"/>
    </row>
    <row r="17">
      <c r="A17" s="41"/>
      <c r="B17" s="41"/>
      <c r="C17" s="41" t="s">
        <v>204</v>
      </c>
      <c r="D17" s="50"/>
      <c r="E17" s="57"/>
      <c r="F17" s="57"/>
      <c r="G17" s="57"/>
      <c r="H17" s="57"/>
    </row>
    <row r="18">
      <c r="A18" s="41"/>
      <c r="B18" s="41"/>
      <c r="C18" s="41"/>
      <c r="D18" s="50" t="s">
        <v>208</v>
      </c>
      <c r="E18" s="57"/>
      <c r="F18" s="57"/>
      <c r="G18" s="57"/>
      <c r="H18" s="57"/>
    </row>
    <row r="19">
      <c r="A19" s="57"/>
      <c r="B19" s="41" t="s">
        <v>158</v>
      </c>
      <c r="C19" s="41"/>
      <c r="D19" s="41"/>
      <c r="E19" s="57"/>
      <c r="F19" s="57"/>
      <c r="G19" s="57"/>
      <c r="H19" s="57"/>
    </row>
    <row r="20">
      <c r="A20" s="57"/>
      <c r="B20" s="41"/>
      <c r="C20" s="50" t="s">
        <v>213</v>
      </c>
      <c r="D20" s="41"/>
      <c r="E20" s="57"/>
      <c r="F20" s="57"/>
      <c r="G20" s="57"/>
      <c r="H20" s="57"/>
    </row>
    <row r="21">
      <c r="A21" s="57"/>
      <c r="B21" s="41"/>
      <c r="C21" s="41" t="s">
        <v>216</v>
      </c>
      <c r="D21" s="41"/>
      <c r="E21" s="57"/>
      <c r="F21" s="57"/>
      <c r="G21" s="57"/>
      <c r="H21" s="57"/>
    </row>
    <row r="22">
      <c r="A22" s="57"/>
      <c r="B22" s="41"/>
      <c r="C22" s="41"/>
      <c r="D22" s="50" t="s">
        <v>220</v>
      </c>
      <c r="E22" s="41"/>
      <c r="F22" s="57"/>
      <c r="G22" s="41"/>
      <c r="H22" s="57"/>
    </row>
    <row r="23">
      <c r="A23" s="57"/>
      <c r="B23" s="57"/>
      <c r="C23" s="41"/>
      <c r="D23" s="41"/>
      <c r="E23" s="41"/>
      <c r="F23" s="57"/>
      <c r="G23" s="57"/>
      <c r="H23" s="57"/>
    </row>
    <row r="24">
      <c r="A24" s="41" t="s">
        <v>35</v>
      </c>
      <c r="B24" s="57"/>
      <c r="C24" s="41"/>
      <c r="D24" s="50"/>
      <c r="E24" s="57"/>
      <c r="F24" s="57"/>
      <c r="G24" s="57"/>
      <c r="H24" s="57"/>
    </row>
    <row r="25">
      <c r="A25" s="41"/>
      <c r="B25" s="41" t="s">
        <v>118</v>
      </c>
      <c r="C25" s="41"/>
      <c r="D25" s="41"/>
      <c r="E25" s="41"/>
      <c r="F25" s="57"/>
      <c r="G25" s="57"/>
      <c r="H25" s="57"/>
    </row>
    <row r="26">
      <c r="A26" s="41"/>
      <c r="B26" s="41"/>
      <c r="C26" s="50" t="s">
        <v>66</v>
      </c>
      <c r="D26" s="41"/>
      <c r="E26" s="41"/>
      <c r="F26" s="57"/>
      <c r="G26" s="57"/>
      <c r="H26" s="57"/>
    </row>
    <row r="27">
      <c r="A27" s="41"/>
      <c r="B27" s="41"/>
      <c r="C27" s="50"/>
      <c r="D27" s="50" t="s">
        <v>234</v>
      </c>
      <c r="E27" s="41"/>
      <c r="F27" s="57"/>
      <c r="G27" s="57"/>
      <c r="H27" s="57"/>
    </row>
    <row r="28">
      <c r="A28" s="41"/>
      <c r="B28" s="41"/>
      <c r="C28" s="41" t="s">
        <v>135</v>
      </c>
      <c r="D28" s="41"/>
      <c r="E28" s="41"/>
      <c r="F28" s="57"/>
      <c r="G28" s="57"/>
      <c r="H28" s="57"/>
    </row>
    <row r="29">
      <c r="A29" s="41"/>
      <c r="B29" s="41"/>
      <c r="C29" s="41"/>
      <c r="D29" s="50" t="s">
        <v>236</v>
      </c>
      <c r="E29" s="41"/>
      <c r="F29" s="57"/>
      <c r="G29" s="57"/>
      <c r="H29" s="57"/>
    </row>
    <row r="30">
      <c r="A30" s="41"/>
      <c r="B30" s="41"/>
      <c r="C30" s="41" t="s">
        <v>137</v>
      </c>
      <c r="D30" s="41"/>
      <c r="E30" s="41"/>
      <c r="F30" s="57"/>
      <c r="G30" s="57"/>
      <c r="H30" s="57"/>
    </row>
    <row r="31">
      <c r="A31" s="41"/>
      <c r="B31" s="41"/>
      <c r="C31" s="41"/>
      <c r="D31" s="50" t="s">
        <v>242</v>
      </c>
      <c r="E31" s="41"/>
      <c r="F31" s="50" t="s">
        <v>244</v>
      </c>
      <c r="G31" s="57"/>
      <c r="H31" s="57"/>
    </row>
    <row r="32">
      <c r="A32" s="41"/>
      <c r="B32" s="41" t="s">
        <v>108</v>
      </c>
      <c r="C32" s="41"/>
      <c r="D32" s="41"/>
      <c r="F32" s="57"/>
      <c r="G32" s="57"/>
      <c r="H32" s="57"/>
    </row>
    <row r="33">
      <c r="A33" s="41"/>
      <c r="B33" s="57"/>
      <c r="C33" s="41" t="s">
        <v>110</v>
      </c>
      <c r="D33" s="41"/>
      <c r="E33" s="41"/>
      <c r="F33" s="57"/>
      <c r="G33" s="57"/>
      <c r="H33" s="57"/>
    </row>
    <row r="34">
      <c r="A34" s="41"/>
      <c r="B34" s="57"/>
      <c r="C34" s="41"/>
      <c r="D34" s="41" t="s">
        <v>248</v>
      </c>
      <c r="G34" s="65" t="s">
        <v>250</v>
      </c>
    </row>
    <row r="35">
      <c r="A35" s="41"/>
      <c r="B35" s="41"/>
      <c r="C35" s="41" t="s">
        <v>253</v>
      </c>
      <c r="D35" s="41"/>
      <c r="E35" s="41"/>
      <c r="F35" s="41"/>
      <c r="G35" s="41"/>
      <c r="H35" s="41"/>
    </row>
    <row r="36">
      <c r="A36" s="57"/>
      <c r="B36" s="41"/>
      <c r="C36" s="41"/>
      <c r="D36" s="82" t="s">
        <v>256</v>
      </c>
      <c r="G36" s="41"/>
      <c r="H36" s="41"/>
    </row>
    <row r="37">
      <c r="A37" s="57"/>
      <c r="B37" s="57"/>
      <c r="C37" s="41" t="s">
        <v>261</v>
      </c>
      <c r="D37" s="41"/>
      <c r="E37" s="41"/>
      <c r="F37" s="41"/>
      <c r="G37" s="41"/>
      <c r="H37" s="41"/>
    </row>
    <row r="38">
      <c r="A38" s="57"/>
      <c r="B38" s="57"/>
      <c r="C38" s="41"/>
      <c r="D38" s="41" t="s">
        <v>267</v>
      </c>
      <c r="F38" s="41"/>
      <c r="G38" s="41"/>
      <c r="H38" s="41"/>
    </row>
    <row r="39">
      <c r="A39" s="41"/>
      <c r="B39" s="41" t="s">
        <v>162</v>
      </c>
      <c r="C39" s="41"/>
      <c r="D39" s="57"/>
      <c r="E39" s="57"/>
      <c r="F39" s="57"/>
      <c r="G39" s="57"/>
      <c r="H39" s="57"/>
    </row>
    <row r="40">
      <c r="A40" s="57"/>
      <c r="B40" s="41"/>
      <c r="C40" s="41" t="s">
        <v>274</v>
      </c>
      <c r="D40" s="41"/>
      <c r="H40" s="57"/>
    </row>
    <row r="41">
      <c r="A41" s="57"/>
      <c r="B41" s="57"/>
      <c r="C41" s="41"/>
      <c r="D41" s="50" t="s">
        <v>280</v>
      </c>
      <c r="E41" s="41"/>
      <c r="F41" s="57"/>
      <c r="G41" s="57"/>
      <c r="H41" s="57"/>
    </row>
    <row r="42">
      <c r="A42" s="57"/>
      <c r="B42" s="41" t="s">
        <v>102</v>
      </c>
      <c r="C42" s="57"/>
      <c r="D42" s="41"/>
      <c r="E42" s="41"/>
      <c r="F42" s="41"/>
      <c r="G42" s="41"/>
      <c r="H42" s="57"/>
    </row>
    <row r="43">
      <c r="A43" s="57"/>
      <c r="B43" s="57"/>
      <c r="C43" s="41" t="s">
        <v>287</v>
      </c>
      <c r="D43" s="41"/>
    </row>
    <row r="44">
      <c r="A44" s="57"/>
      <c r="B44" s="41"/>
      <c r="C44" s="57"/>
      <c r="D44" s="41" t="s">
        <v>292</v>
      </c>
    </row>
    <row r="45">
      <c r="A45" s="57"/>
      <c r="B45" s="41"/>
      <c r="C45" s="41"/>
      <c r="D45" s="41"/>
      <c r="E45" s="57"/>
      <c r="F45" s="57"/>
      <c r="G45" s="57"/>
      <c r="H45" s="57"/>
    </row>
    <row r="46">
      <c r="A46" s="57"/>
      <c r="B46" s="41" t="s">
        <v>70</v>
      </c>
      <c r="C46" s="41"/>
      <c r="D46" s="41"/>
      <c r="F46" s="57"/>
      <c r="G46" s="57"/>
      <c r="H46" s="57"/>
    </row>
    <row r="47">
      <c r="A47" s="57"/>
      <c r="B47" s="41"/>
      <c r="C47" s="41" t="s">
        <v>301</v>
      </c>
      <c r="D47" s="41"/>
      <c r="E47" s="57"/>
      <c r="F47" s="57"/>
      <c r="G47" s="57"/>
      <c r="H47" s="57"/>
    </row>
    <row r="48">
      <c r="A48" s="57"/>
      <c r="B48" s="41"/>
      <c r="C48" s="41"/>
      <c r="D48" s="41" t="s">
        <v>303</v>
      </c>
    </row>
    <row r="49">
      <c r="A49" s="57"/>
      <c r="B49" s="41"/>
      <c r="C49" s="50" t="s">
        <v>307</v>
      </c>
      <c r="D49" s="41"/>
      <c r="E49" s="57"/>
      <c r="F49" s="57"/>
      <c r="G49" s="57"/>
      <c r="H49" s="57"/>
    </row>
    <row r="50">
      <c r="A50" s="57"/>
      <c r="B50" s="57"/>
      <c r="C50" s="41"/>
      <c r="D50" s="41" t="s">
        <v>310</v>
      </c>
      <c r="F50" s="41"/>
      <c r="G50" s="57"/>
      <c r="H50" s="57"/>
    </row>
    <row r="51">
      <c r="A51" s="57"/>
      <c r="B51" s="57"/>
      <c r="C51" s="41" t="s">
        <v>143</v>
      </c>
      <c r="D51" s="41"/>
    </row>
    <row r="52">
      <c r="A52" s="57"/>
      <c r="B52" s="41"/>
      <c r="C52" s="57"/>
      <c r="D52" s="41" t="s">
        <v>314</v>
      </c>
    </row>
    <row r="53">
      <c r="A53" s="57"/>
      <c r="B53" s="41"/>
      <c r="C53" s="41" t="s">
        <v>72</v>
      </c>
      <c r="E53" s="41"/>
      <c r="F53" s="41"/>
      <c r="G53" s="41"/>
      <c r="H53" s="41"/>
    </row>
    <row r="54">
      <c r="A54" s="41"/>
      <c r="B54" s="41"/>
      <c r="C54" s="50"/>
      <c r="D54" s="41" t="s">
        <v>318</v>
      </c>
      <c r="E54" s="41" t="s">
        <v>320</v>
      </c>
      <c r="G54" s="41"/>
      <c r="H54" s="57"/>
    </row>
    <row r="55">
      <c r="A55" s="41"/>
      <c r="B55" s="41" t="s">
        <v>130</v>
      </c>
      <c r="C55" s="41"/>
      <c r="D55" s="41"/>
      <c r="E55" s="57"/>
      <c r="F55" s="57"/>
      <c r="G55" s="57"/>
      <c r="H55" s="57"/>
    </row>
    <row r="56">
      <c r="A56" s="41"/>
      <c r="B56" s="57"/>
      <c r="C56" s="41" t="s">
        <v>177</v>
      </c>
      <c r="D56" s="41"/>
      <c r="F56" s="41"/>
    </row>
    <row r="57">
      <c r="A57" s="41"/>
      <c r="B57" s="57"/>
      <c r="C57" s="41"/>
      <c r="D57" s="82" t="s">
        <v>326</v>
      </c>
    </row>
    <row r="58">
      <c r="A58" s="41"/>
      <c r="B58" s="41" t="s">
        <v>85</v>
      </c>
      <c r="C58" s="57"/>
      <c r="D58" s="41"/>
    </row>
    <row r="59">
      <c r="A59" s="41"/>
      <c r="B59" s="57"/>
      <c r="C59" s="50" t="s">
        <v>330</v>
      </c>
      <c r="D59" s="57"/>
      <c r="E59" s="57"/>
      <c r="F59" s="57"/>
      <c r="G59" s="57"/>
      <c r="H59" s="57"/>
    </row>
    <row r="60">
      <c r="A60" s="65"/>
      <c r="B60" s="57"/>
      <c r="C60" s="57"/>
      <c r="D60" s="74" t="s">
        <v>333</v>
      </c>
    </row>
    <row r="61">
      <c r="A61" s="41"/>
      <c r="B61" s="60" t="s">
        <v>337</v>
      </c>
      <c r="C61" s="41"/>
      <c r="D61" s="41"/>
      <c r="E61" s="41"/>
      <c r="F61" s="41"/>
      <c r="G61" s="41"/>
      <c r="H61" s="41"/>
    </row>
    <row r="62">
      <c r="A62" s="41"/>
      <c r="B62" s="41"/>
      <c r="C62" s="41" t="s">
        <v>66</v>
      </c>
      <c r="D62" s="65"/>
      <c r="F62" s="41"/>
      <c r="G62" s="41"/>
    </row>
    <row r="63">
      <c r="A63" s="57"/>
      <c r="B63" s="57"/>
      <c r="C63" s="41"/>
      <c r="D63" s="50" t="s">
        <v>342</v>
      </c>
    </row>
    <row r="64">
      <c r="A64" s="57"/>
      <c r="B64" s="57"/>
      <c r="C64" s="41" t="s">
        <v>344</v>
      </c>
      <c r="D64" s="41"/>
    </row>
    <row r="65">
      <c r="A65" s="57"/>
      <c r="B65" s="41"/>
      <c r="C65" s="57"/>
      <c r="D65" s="41" t="s">
        <v>346</v>
      </c>
      <c r="F65" s="41"/>
      <c r="G65" s="41"/>
      <c r="H65" s="41"/>
    </row>
    <row r="66">
      <c r="A66" s="57"/>
      <c r="B66" s="57"/>
      <c r="C66" s="41" t="s">
        <v>170</v>
      </c>
      <c r="D66" s="41"/>
      <c r="E66" s="41"/>
      <c r="F66" s="41"/>
      <c r="G66" s="41"/>
      <c r="H66" s="41"/>
    </row>
    <row r="67">
      <c r="A67" s="57"/>
      <c r="B67" s="57"/>
      <c r="C67" s="57"/>
      <c r="D67" s="41" t="s">
        <v>349</v>
      </c>
      <c r="F67" s="41" t="s">
        <v>351</v>
      </c>
    </row>
    <row r="68">
      <c r="A68" s="41"/>
      <c r="B68" s="57"/>
      <c r="C68" s="50" t="s">
        <v>354</v>
      </c>
      <c r="D68" s="41"/>
      <c r="E68" s="41"/>
      <c r="F68" s="41"/>
      <c r="G68" s="41"/>
      <c r="H68" s="41"/>
    </row>
    <row r="69">
      <c r="A69" s="57"/>
      <c r="B69" s="41"/>
      <c r="C69" s="57"/>
      <c r="D69" s="41" t="s">
        <v>358</v>
      </c>
      <c r="F69" s="50" t="s">
        <v>359</v>
      </c>
      <c r="G69" s="41" t="s">
        <v>360</v>
      </c>
      <c r="H69" s="41"/>
    </row>
    <row r="70">
      <c r="A70" s="57"/>
      <c r="B70" s="57"/>
      <c r="C70" s="50" t="s">
        <v>363</v>
      </c>
      <c r="D70" s="41"/>
      <c r="E70" s="41"/>
      <c r="F70" s="41"/>
      <c r="G70" s="41"/>
      <c r="H70" s="41"/>
    </row>
    <row r="71">
      <c r="A71" s="57"/>
      <c r="B71" s="57"/>
      <c r="C71" s="57"/>
      <c r="D71" s="41" t="s">
        <v>365</v>
      </c>
    </row>
    <row r="72">
      <c r="A72" s="57"/>
      <c r="B72" s="57"/>
      <c r="C72" s="41"/>
      <c r="D72" s="41" t="s">
        <v>367</v>
      </c>
    </row>
    <row r="73">
      <c r="A73" s="57"/>
      <c r="B73" s="57"/>
      <c r="C73" s="57"/>
      <c r="D73" s="41" t="s">
        <v>370</v>
      </c>
      <c r="F73" s="41"/>
      <c r="G73" s="41"/>
      <c r="H73" s="41"/>
    </row>
    <row r="74">
      <c r="A74" s="57"/>
      <c r="B74" s="57"/>
      <c r="C74" s="41" t="s">
        <v>371</v>
      </c>
      <c r="D74" s="41"/>
      <c r="F74" s="41"/>
      <c r="H74" s="41"/>
    </row>
    <row r="75">
      <c r="A75" s="57"/>
      <c r="B75" s="57"/>
      <c r="C75" s="41"/>
      <c r="D75" s="41" t="s">
        <v>373</v>
      </c>
      <c r="E75" s="41"/>
      <c r="F75" s="41"/>
      <c r="G75" s="41"/>
      <c r="H75" s="41"/>
    </row>
    <row r="76">
      <c r="A76" s="57"/>
      <c r="B76" s="41" t="s">
        <v>114</v>
      </c>
      <c r="C76" s="57"/>
      <c r="D76" s="41"/>
      <c r="F76" s="41"/>
      <c r="H76" s="41"/>
    </row>
    <row r="77">
      <c r="A77" s="57"/>
      <c r="B77" s="57"/>
      <c r="C77" s="41" t="s">
        <v>297</v>
      </c>
      <c r="D77" s="41"/>
    </row>
    <row r="78">
      <c r="A78" s="57"/>
      <c r="B78" s="57"/>
      <c r="C78" s="41"/>
      <c r="D78" s="41" t="s">
        <v>383</v>
      </c>
      <c r="F78" s="41"/>
      <c r="G78" s="41"/>
      <c r="H78" s="41"/>
    </row>
  </sheetData>
  <mergeCells count="44">
    <mergeCell ref="A1:G1"/>
    <mergeCell ref="C2:G2"/>
    <mergeCell ref="A3:H3"/>
    <mergeCell ref="D6:H6"/>
    <mergeCell ref="D8:H8"/>
    <mergeCell ref="D12:H12"/>
    <mergeCell ref="D13:E13"/>
    <mergeCell ref="D32:E32"/>
    <mergeCell ref="D34:F34"/>
    <mergeCell ref="G34:H34"/>
    <mergeCell ref="D36:F36"/>
    <mergeCell ref="D38:E38"/>
    <mergeCell ref="D40:G40"/>
    <mergeCell ref="D43:H43"/>
    <mergeCell ref="D44:H44"/>
    <mergeCell ref="D46:E46"/>
    <mergeCell ref="D48:H48"/>
    <mergeCell ref="D50:E50"/>
    <mergeCell ref="D51:H51"/>
    <mergeCell ref="D52:H52"/>
    <mergeCell ref="C53:D53"/>
    <mergeCell ref="E54:F54"/>
    <mergeCell ref="D56:E56"/>
    <mergeCell ref="F56:H56"/>
    <mergeCell ref="D57:H57"/>
    <mergeCell ref="D58:H58"/>
    <mergeCell ref="D60:H60"/>
    <mergeCell ref="D62:E62"/>
    <mergeCell ref="G62:H62"/>
    <mergeCell ref="D63:H63"/>
    <mergeCell ref="D64:H64"/>
    <mergeCell ref="D65:E65"/>
    <mergeCell ref="D67:E67"/>
    <mergeCell ref="F67:H67"/>
    <mergeCell ref="D69:E69"/>
    <mergeCell ref="D76:E76"/>
    <mergeCell ref="D78:E78"/>
    <mergeCell ref="D71:H71"/>
    <mergeCell ref="D72:H72"/>
    <mergeCell ref="D73:E73"/>
    <mergeCell ref="D74:E74"/>
    <mergeCell ref="F74:G74"/>
    <mergeCell ref="F76:G76"/>
    <mergeCell ref="D77:H7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4.38"/>
  </cols>
  <sheetData>
    <row r="1">
      <c r="A1" s="68" t="s">
        <v>52</v>
      </c>
      <c r="B1" s="7"/>
      <c r="C1" s="7"/>
      <c r="D1" s="7"/>
      <c r="E1" s="7"/>
      <c r="F1" s="7"/>
      <c r="G1" s="7"/>
      <c r="H1" s="18"/>
    </row>
    <row r="2">
      <c r="A2" s="69" t="s">
        <v>5</v>
      </c>
      <c r="B2" s="62" t="s">
        <v>192</v>
      </c>
      <c r="C2" s="70" t="s">
        <v>194</v>
      </c>
      <c r="H2" s="18"/>
    </row>
    <row r="3">
      <c r="A3" s="71" t="s">
        <v>196</v>
      </c>
      <c r="E3" s="23"/>
      <c r="F3" s="72"/>
      <c r="G3" s="23"/>
      <c r="H3" s="73" t="s">
        <v>199</v>
      </c>
    </row>
    <row r="4">
      <c r="A4" s="73" t="s">
        <v>200</v>
      </c>
    </row>
    <row r="5">
      <c r="A5" s="49" t="s">
        <v>9</v>
      </c>
      <c r="B5" s="18"/>
      <c r="C5" s="18"/>
      <c r="D5" s="18"/>
      <c r="E5" s="18"/>
      <c r="F5" s="18"/>
      <c r="G5" s="18"/>
      <c r="H5" s="18"/>
    </row>
    <row r="6">
      <c r="A6" s="18"/>
      <c r="B6" s="18"/>
      <c r="C6" s="49" t="s">
        <v>203</v>
      </c>
      <c r="D6" s="18"/>
      <c r="E6" s="18"/>
      <c r="F6" s="18"/>
      <c r="G6" s="18"/>
      <c r="H6" s="18"/>
    </row>
    <row r="7">
      <c r="A7" s="18"/>
      <c r="B7" s="18"/>
      <c r="C7" s="18"/>
      <c r="D7" s="44" t="s">
        <v>206</v>
      </c>
      <c r="F7" s="18"/>
      <c r="G7" s="18"/>
      <c r="H7" s="18"/>
    </row>
    <row r="8">
      <c r="A8" s="18"/>
      <c r="B8" s="18"/>
      <c r="C8" s="47" t="s">
        <v>207</v>
      </c>
      <c r="D8" s="18"/>
      <c r="E8" s="18"/>
      <c r="F8" s="18"/>
      <c r="G8" s="18"/>
      <c r="H8" s="18"/>
    </row>
    <row r="9">
      <c r="A9" s="18"/>
      <c r="B9" s="18"/>
      <c r="C9" s="18"/>
      <c r="D9" s="47" t="s">
        <v>209</v>
      </c>
      <c r="E9" s="11"/>
      <c r="F9" s="11"/>
      <c r="G9" s="11"/>
      <c r="H9" s="11"/>
    </row>
    <row r="10">
      <c r="A10" s="18"/>
      <c r="B10" s="18"/>
      <c r="C10" s="49" t="s">
        <v>210</v>
      </c>
      <c r="D10" s="18"/>
      <c r="E10" s="18"/>
      <c r="F10" s="18"/>
      <c r="G10" s="18"/>
      <c r="H10" s="18"/>
    </row>
    <row r="11">
      <c r="A11" s="18"/>
      <c r="B11" s="18"/>
      <c r="C11" s="18"/>
      <c r="D11" s="32" t="s">
        <v>212</v>
      </c>
      <c r="H11" s="18"/>
    </row>
    <row r="12">
      <c r="A12" s="18"/>
      <c r="B12" s="18"/>
      <c r="C12" s="18"/>
      <c r="D12" s="18"/>
      <c r="E12" s="18"/>
      <c r="F12" s="18"/>
      <c r="G12" s="18"/>
      <c r="H12" s="18"/>
    </row>
    <row r="13">
      <c r="A13" s="18"/>
      <c r="B13" s="18"/>
      <c r="C13" s="18"/>
      <c r="D13" s="18"/>
      <c r="E13" s="18"/>
      <c r="F13" s="18"/>
      <c r="G13" s="18"/>
      <c r="H13" s="18"/>
    </row>
    <row r="14">
      <c r="A14" s="49" t="s">
        <v>20</v>
      </c>
      <c r="B14" s="18"/>
      <c r="C14" s="18"/>
      <c r="D14" s="11"/>
      <c r="E14" s="11"/>
      <c r="F14" s="11"/>
      <c r="G14" s="11"/>
      <c r="H14" s="18"/>
    </row>
    <row r="15">
      <c r="A15" s="18"/>
      <c r="B15" s="49" t="s">
        <v>217</v>
      </c>
      <c r="C15" s="18"/>
      <c r="D15" s="18"/>
      <c r="E15" s="18"/>
      <c r="F15" s="18"/>
      <c r="G15" s="18"/>
      <c r="H15" s="18"/>
    </row>
    <row r="16">
      <c r="A16" s="18"/>
      <c r="B16" s="18"/>
      <c r="C16" s="44" t="s">
        <v>219</v>
      </c>
      <c r="D16" s="11"/>
      <c r="E16" s="11"/>
      <c r="F16" s="18"/>
      <c r="G16" s="18"/>
      <c r="H16" s="18"/>
    </row>
    <row r="17">
      <c r="A17" s="18"/>
      <c r="B17" s="18"/>
      <c r="C17" s="49" t="s">
        <v>221</v>
      </c>
      <c r="D17" s="18"/>
      <c r="E17" s="18"/>
      <c r="F17" s="18"/>
      <c r="G17" s="18"/>
      <c r="H17" s="18"/>
    </row>
    <row r="18">
      <c r="A18" s="18"/>
      <c r="B18" s="18"/>
      <c r="C18" s="18"/>
      <c r="D18" s="32" t="s">
        <v>223</v>
      </c>
      <c r="E18" s="18"/>
      <c r="F18" s="18"/>
      <c r="G18" s="18"/>
      <c r="H18" s="18"/>
    </row>
    <row r="19">
      <c r="A19" s="18"/>
      <c r="B19" s="18"/>
      <c r="C19" s="49" t="s">
        <v>224</v>
      </c>
      <c r="D19" s="11"/>
      <c r="E19" s="18"/>
      <c r="F19" s="18"/>
      <c r="G19" s="18"/>
      <c r="H19" s="18"/>
    </row>
    <row r="20">
      <c r="A20" s="18"/>
      <c r="B20" s="18"/>
      <c r="C20" s="18"/>
      <c r="D20" s="52" t="s">
        <v>225</v>
      </c>
    </row>
    <row r="21">
      <c r="A21" s="18"/>
      <c r="B21" s="49" t="s">
        <v>21</v>
      </c>
      <c r="C21" s="18"/>
      <c r="D21" s="18"/>
      <c r="E21" s="18"/>
      <c r="F21" s="18"/>
      <c r="G21" s="18"/>
      <c r="H21" s="18"/>
    </row>
    <row r="22">
      <c r="A22" s="18"/>
      <c r="B22" s="18"/>
      <c r="C22" s="49" t="s">
        <v>228</v>
      </c>
      <c r="D22" s="18"/>
      <c r="E22" s="18"/>
      <c r="F22" s="18"/>
      <c r="G22" s="18"/>
      <c r="H22" s="18"/>
    </row>
    <row r="23">
      <c r="A23" s="18"/>
      <c r="B23" s="18"/>
      <c r="C23" s="18"/>
      <c r="D23" s="47" t="s">
        <v>230</v>
      </c>
      <c r="E23" s="11"/>
      <c r="F23" s="11"/>
      <c r="G23" s="11"/>
      <c r="H23" s="11"/>
    </row>
    <row r="24">
      <c r="A24" s="18"/>
      <c r="B24" s="49" t="s">
        <v>154</v>
      </c>
      <c r="C24" s="18"/>
      <c r="D24" s="18"/>
      <c r="F24" s="18"/>
      <c r="G24" s="18"/>
      <c r="H24" s="18"/>
    </row>
    <row r="25">
      <c r="A25" s="18"/>
      <c r="B25" s="18"/>
      <c r="C25" s="49" t="s">
        <v>231</v>
      </c>
      <c r="D25" s="18"/>
      <c r="E25" s="18"/>
      <c r="F25" s="18"/>
      <c r="G25" s="18"/>
      <c r="H25" s="18"/>
    </row>
    <row r="26">
      <c r="A26" s="18"/>
      <c r="B26" s="18"/>
      <c r="C26" s="18"/>
      <c r="D26" s="49" t="s">
        <v>232</v>
      </c>
      <c r="G26" s="18"/>
      <c r="H26" s="18"/>
    </row>
    <row r="27">
      <c r="A27" s="49" t="s">
        <v>35</v>
      </c>
      <c r="B27" s="18"/>
      <c r="C27" s="18"/>
      <c r="D27" s="18"/>
      <c r="E27" s="18"/>
      <c r="F27" s="18"/>
      <c r="G27" s="18"/>
      <c r="H27" s="18"/>
    </row>
    <row r="28">
      <c r="A28" s="18"/>
      <c r="B28" s="49" t="s">
        <v>162</v>
      </c>
      <c r="C28" s="18"/>
      <c r="D28" s="18"/>
      <c r="E28" s="18"/>
      <c r="F28" s="18"/>
      <c r="G28" s="18"/>
      <c r="H28" s="18"/>
    </row>
    <row r="29">
      <c r="A29" s="18"/>
      <c r="B29" s="18"/>
      <c r="C29" s="49" t="s">
        <v>235</v>
      </c>
      <c r="D29" s="11"/>
      <c r="E29" s="18"/>
      <c r="F29" s="18"/>
      <c r="G29" s="11"/>
      <c r="H29" s="18"/>
    </row>
    <row r="30">
      <c r="A30" s="18"/>
      <c r="B30" s="18"/>
      <c r="C30" s="18"/>
      <c r="D30" s="44" t="s">
        <v>237</v>
      </c>
      <c r="F30" s="44" t="s">
        <v>238</v>
      </c>
      <c r="H30" s="18"/>
    </row>
    <row r="31">
      <c r="A31" s="18"/>
      <c r="B31" s="18"/>
      <c r="C31" s="49" t="s">
        <v>239</v>
      </c>
      <c r="D31" s="11"/>
      <c r="E31" s="11"/>
      <c r="F31" s="18"/>
      <c r="G31" s="18"/>
      <c r="H31" s="18"/>
    </row>
    <row r="32">
      <c r="A32" s="18"/>
      <c r="B32" s="18"/>
      <c r="C32" s="18"/>
      <c r="D32" s="44" t="s">
        <v>241</v>
      </c>
      <c r="F32" s="18"/>
      <c r="G32" s="18"/>
      <c r="H32" s="18"/>
    </row>
    <row r="33">
      <c r="A33" s="18"/>
      <c r="B33" s="18"/>
      <c r="C33" s="49" t="s">
        <v>163</v>
      </c>
      <c r="D33" s="11"/>
      <c r="E33" s="11"/>
      <c r="F33" s="11"/>
      <c r="G33" s="11"/>
      <c r="H33" s="11"/>
    </row>
    <row r="34">
      <c r="A34" s="18"/>
      <c r="B34" s="18"/>
      <c r="C34" s="18"/>
      <c r="D34" s="44" t="s">
        <v>245</v>
      </c>
      <c r="H34" s="18"/>
    </row>
    <row r="35">
      <c r="A35" s="18"/>
      <c r="B35" s="18"/>
      <c r="C35" s="18"/>
      <c r="D35" s="11"/>
      <c r="E35" s="18"/>
      <c r="F35" s="18"/>
      <c r="G35" s="18"/>
      <c r="H35" s="18"/>
    </row>
    <row r="36">
      <c r="A36" s="18"/>
      <c r="B36" s="49" t="s">
        <v>108</v>
      </c>
      <c r="C36" s="18"/>
      <c r="D36" s="18"/>
      <c r="E36" s="18"/>
      <c r="F36" s="18"/>
      <c r="G36" s="18"/>
      <c r="H36" s="18"/>
    </row>
    <row r="37">
      <c r="A37" s="18"/>
      <c r="B37" s="18"/>
      <c r="C37" s="49" t="s">
        <v>108</v>
      </c>
      <c r="D37" s="38"/>
    </row>
    <row r="38">
      <c r="A38" s="18"/>
      <c r="B38" s="18"/>
      <c r="C38" s="18"/>
      <c r="D38" s="49" t="s">
        <v>247</v>
      </c>
    </row>
    <row r="39">
      <c r="A39" s="18"/>
      <c r="B39" s="18"/>
      <c r="C39" s="49" t="s">
        <v>110</v>
      </c>
      <c r="D39" s="11"/>
      <c r="E39" s="18"/>
      <c r="F39" s="18"/>
      <c r="G39" s="18"/>
      <c r="H39" s="18"/>
    </row>
    <row r="40">
      <c r="A40" s="18"/>
      <c r="B40" s="18"/>
      <c r="C40" s="18"/>
      <c r="D40" s="44" t="s">
        <v>251</v>
      </c>
      <c r="F40" s="18"/>
      <c r="G40" s="18"/>
      <c r="H40" s="18"/>
    </row>
    <row r="41">
      <c r="A41" s="18"/>
      <c r="B41" s="18"/>
      <c r="C41" s="18"/>
      <c r="D41" s="11"/>
      <c r="E41" s="18"/>
      <c r="F41" s="18"/>
      <c r="G41" s="18"/>
      <c r="H41" s="18"/>
    </row>
    <row r="42">
      <c r="A42" s="18"/>
      <c r="B42" s="49" t="s">
        <v>84</v>
      </c>
      <c r="C42" s="18"/>
      <c r="D42" s="38"/>
    </row>
    <row r="43">
      <c r="A43" s="18"/>
      <c r="B43" s="18"/>
      <c r="C43" s="32" t="s">
        <v>255</v>
      </c>
      <c r="D43" s="11"/>
      <c r="E43" s="18"/>
      <c r="F43" s="18"/>
      <c r="G43" s="18"/>
      <c r="H43" s="18"/>
    </row>
    <row r="44">
      <c r="A44" s="18"/>
      <c r="B44" s="18"/>
      <c r="C44" s="18"/>
      <c r="D44" s="44" t="s">
        <v>258</v>
      </c>
      <c r="F44" s="18"/>
      <c r="G44" s="18"/>
      <c r="H44" s="18"/>
    </row>
    <row r="45">
      <c r="A45" s="18"/>
      <c r="B45" s="18"/>
      <c r="C45" s="49" t="s">
        <v>95</v>
      </c>
      <c r="D45" s="49" t="s">
        <v>260</v>
      </c>
    </row>
    <row r="46">
      <c r="A46" s="18"/>
      <c r="B46" s="18"/>
      <c r="C46" s="18"/>
      <c r="D46" s="49" t="s">
        <v>263</v>
      </c>
    </row>
    <row r="47">
      <c r="A47" s="18"/>
      <c r="B47" s="49"/>
      <c r="C47" s="44" t="s">
        <v>266</v>
      </c>
      <c r="E47" s="18"/>
      <c r="F47" s="18"/>
      <c r="G47" s="18"/>
      <c r="H47" s="18"/>
    </row>
    <row r="48">
      <c r="A48" s="18"/>
      <c r="B48" s="49" t="s">
        <v>92</v>
      </c>
      <c r="C48" s="49"/>
      <c r="D48" s="52" t="s">
        <v>269</v>
      </c>
      <c r="E48" s="18"/>
      <c r="F48" s="18"/>
      <c r="G48" s="18"/>
      <c r="H48" s="18"/>
    </row>
    <row r="49">
      <c r="A49" s="18"/>
      <c r="B49" s="18"/>
      <c r="C49" s="32" t="s">
        <v>218</v>
      </c>
      <c r="D49" s="11"/>
      <c r="E49" s="18"/>
      <c r="F49" s="18"/>
      <c r="G49" s="18"/>
      <c r="H49" s="18"/>
    </row>
    <row r="50">
      <c r="A50" s="18"/>
      <c r="B50" s="18"/>
      <c r="C50" s="18"/>
      <c r="D50" s="44" t="s">
        <v>272</v>
      </c>
      <c r="E50" s="18"/>
      <c r="F50" s="18"/>
      <c r="G50" s="18"/>
      <c r="H50" s="18"/>
    </row>
    <row r="51">
      <c r="A51" s="18"/>
      <c r="B51" s="18"/>
      <c r="C51" s="49" t="s">
        <v>276</v>
      </c>
      <c r="D51" s="38"/>
      <c r="F51" s="18"/>
    </row>
    <row r="52">
      <c r="A52" s="18"/>
      <c r="B52" s="18"/>
      <c r="C52" s="18"/>
      <c r="D52" s="44" t="s">
        <v>281</v>
      </c>
      <c r="E52" s="83" t="s">
        <v>282</v>
      </c>
      <c r="F52" s="18"/>
      <c r="G52" s="18"/>
      <c r="H52" s="18"/>
    </row>
    <row r="53">
      <c r="A53" s="18"/>
      <c r="B53" s="49" t="s">
        <v>114</v>
      </c>
      <c r="C53" s="18"/>
      <c r="D53" s="38"/>
    </row>
    <row r="54">
      <c r="A54" s="18"/>
      <c r="B54" s="18"/>
      <c r="C54" s="49" t="s">
        <v>289</v>
      </c>
      <c r="D54" s="11"/>
      <c r="E54" s="18"/>
      <c r="F54" s="18"/>
      <c r="G54" s="18"/>
      <c r="H54" s="18"/>
    </row>
    <row r="55">
      <c r="A55" s="18"/>
      <c r="B55" s="18"/>
      <c r="C55" s="18"/>
      <c r="D55" s="84" t="s">
        <v>293</v>
      </c>
      <c r="F55" s="18"/>
      <c r="G55" s="18"/>
      <c r="H55" s="18"/>
    </row>
    <row r="56">
      <c r="A56" s="18"/>
      <c r="B56" s="18"/>
      <c r="C56" s="49" t="s">
        <v>297</v>
      </c>
      <c r="D56" s="11"/>
      <c r="E56" s="18"/>
      <c r="F56" s="18"/>
      <c r="G56" s="18"/>
      <c r="H56" s="18"/>
    </row>
    <row r="57">
      <c r="A57" s="18"/>
      <c r="B57" s="18"/>
      <c r="C57" s="18"/>
      <c r="D57" s="84" t="s">
        <v>299</v>
      </c>
      <c r="F57" s="44" t="s">
        <v>300</v>
      </c>
      <c r="G57" s="49" t="s">
        <v>302</v>
      </c>
    </row>
    <row r="58">
      <c r="A58" s="18"/>
      <c r="B58" s="18"/>
      <c r="C58" s="49" t="s">
        <v>133</v>
      </c>
      <c r="D58" s="38"/>
      <c r="F58" s="18"/>
      <c r="G58" s="18"/>
      <c r="H58" s="18"/>
    </row>
    <row r="59">
      <c r="A59" s="18"/>
      <c r="B59" s="18"/>
      <c r="C59" s="18"/>
      <c r="D59" s="52" t="s">
        <v>305</v>
      </c>
      <c r="E59" s="32" t="s">
        <v>306</v>
      </c>
      <c r="F59" s="18"/>
      <c r="G59" s="18"/>
      <c r="H59" s="18"/>
    </row>
    <row r="60">
      <c r="A60" s="18"/>
      <c r="B60" s="18"/>
      <c r="C60" s="18"/>
      <c r="D60" s="38"/>
    </row>
    <row r="61">
      <c r="A61" s="18"/>
      <c r="B61" s="49" t="s">
        <v>130</v>
      </c>
      <c r="C61" s="18"/>
      <c r="D61" s="11"/>
      <c r="E61" s="18"/>
      <c r="F61" s="18"/>
      <c r="G61" s="18"/>
      <c r="H61" s="18"/>
    </row>
    <row r="62">
      <c r="A62" s="18"/>
      <c r="B62" s="18"/>
      <c r="C62" s="49" t="s">
        <v>131</v>
      </c>
      <c r="D62" s="11"/>
      <c r="E62" s="18"/>
      <c r="F62" s="18"/>
      <c r="G62" s="18"/>
      <c r="H62" s="18"/>
    </row>
    <row r="63">
      <c r="A63" s="18"/>
      <c r="B63" s="18"/>
      <c r="C63" s="18"/>
      <c r="D63" s="44" t="s">
        <v>312</v>
      </c>
      <c r="F63" s="18"/>
      <c r="G63" s="18"/>
      <c r="H63" s="18"/>
    </row>
    <row r="64">
      <c r="A64" s="18"/>
      <c r="B64" s="18"/>
      <c r="C64" s="49" t="s">
        <v>177</v>
      </c>
      <c r="D64" s="11"/>
      <c r="E64" s="18"/>
      <c r="F64" s="18"/>
      <c r="G64" s="18"/>
      <c r="H64" s="18"/>
    </row>
    <row r="65">
      <c r="A65" s="18"/>
      <c r="B65" s="18"/>
      <c r="C65" s="18"/>
      <c r="D65" s="52" t="s">
        <v>316</v>
      </c>
      <c r="E65" s="18"/>
      <c r="F65" s="18"/>
      <c r="G65" s="18"/>
      <c r="H65" s="18"/>
    </row>
  </sheetData>
  <mergeCells count="30">
    <mergeCell ref="A1:G1"/>
    <mergeCell ref="C2:G2"/>
    <mergeCell ref="A3:D3"/>
    <mergeCell ref="A4:H4"/>
    <mergeCell ref="D7:E7"/>
    <mergeCell ref="D11:G11"/>
    <mergeCell ref="D20:H20"/>
    <mergeCell ref="D24:E24"/>
    <mergeCell ref="D26:F26"/>
    <mergeCell ref="D30:E30"/>
    <mergeCell ref="F30:G30"/>
    <mergeCell ref="D32:E32"/>
    <mergeCell ref="D34:G34"/>
    <mergeCell ref="D37:H37"/>
    <mergeCell ref="D38:H38"/>
    <mergeCell ref="D40:E40"/>
    <mergeCell ref="D42:H42"/>
    <mergeCell ref="D44:E44"/>
    <mergeCell ref="D45:H45"/>
    <mergeCell ref="D46:H46"/>
    <mergeCell ref="C47:D47"/>
    <mergeCell ref="D58:E58"/>
    <mergeCell ref="D63:E63"/>
    <mergeCell ref="D51:E51"/>
    <mergeCell ref="F51:H51"/>
    <mergeCell ref="D53:H53"/>
    <mergeCell ref="D55:E55"/>
    <mergeCell ref="D57:E57"/>
    <mergeCell ref="G57:H57"/>
    <mergeCell ref="D60:H6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43</v>
      </c>
      <c r="H1" s="18"/>
    </row>
    <row r="2">
      <c r="A2" s="76" t="s">
        <v>5</v>
      </c>
      <c r="B2" s="77" t="s">
        <v>215</v>
      </c>
      <c r="C2" s="78"/>
      <c r="H2" s="18"/>
    </row>
    <row r="3">
      <c r="A3" s="23"/>
      <c r="B3" s="23"/>
      <c r="C3" s="23"/>
      <c r="D3" s="23"/>
      <c r="E3" s="23"/>
      <c r="F3" s="23"/>
      <c r="G3" s="23"/>
      <c r="H3" s="23"/>
    </row>
    <row r="4">
      <c r="A4" s="8" t="s">
        <v>9</v>
      </c>
      <c r="B4" s="18"/>
      <c r="C4" s="18"/>
      <c r="D4" s="18"/>
      <c r="E4" s="18"/>
      <c r="F4" s="18"/>
      <c r="G4" s="18"/>
      <c r="H4" s="18"/>
    </row>
    <row r="5">
      <c r="A5" s="18"/>
      <c r="B5" s="18"/>
      <c r="C5" s="8" t="s">
        <v>203</v>
      </c>
      <c r="D5" s="18"/>
      <c r="E5" s="18"/>
      <c r="F5" s="18"/>
      <c r="G5" s="18"/>
      <c r="H5" s="18"/>
    </row>
    <row r="6">
      <c r="A6" s="18"/>
      <c r="B6" s="18"/>
      <c r="C6" s="18"/>
      <c r="D6" s="79" t="s">
        <v>226</v>
      </c>
    </row>
    <row r="7">
      <c r="A7" s="18"/>
      <c r="B7" s="18"/>
      <c r="C7" s="38" t="s">
        <v>227</v>
      </c>
      <c r="D7" s="18"/>
      <c r="E7" s="18"/>
      <c r="F7" s="18"/>
      <c r="G7" s="18"/>
      <c r="H7" s="18"/>
    </row>
    <row r="8">
      <c r="A8" s="18"/>
      <c r="B8" s="18"/>
      <c r="C8" s="18"/>
      <c r="D8" s="80" t="s">
        <v>229</v>
      </c>
    </row>
    <row r="9">
      <c r="A9" s="18"/>
      <c r="B9" s="18"/>
      <c r="C9" s="18"/>
      <c r="D9" s="18"/>
      <c r="E9" s="18"/>
      <c r="F9" s="18"/>
      <c r="G9" s="18"/>
      <c r="H9" s="18"/>
    </row>
    <row r="10">
      <c r="A10" s="8" t="s">
        <v>35</v>
      </c>
      <c r="B10" s="18"/>
      <c r="C10" s="18"/>
      <c r="D10" s="18"/>
      <c r="E10" s="18"/>
      <c r="F10" s="18"/>
      <c r="G10" s="18"/>
      <c r="H10" s="18"/>
    </row>
    <row r="11">
      <c r="A11" s="18"/>
      <c r="B11" s="8" t="s">
        <v>162</v>
      </c>
      <c r="C11" s="18"/>
      <c r="D11" s="18"/>
      <c r="E11" s="18"/>
      <c r="F11" s="18"/>
      <c r="G11" s="18"/>
      <c r="H11" s="18"/>
    </row>
    <row r="12">
      <c r="A12" s="18"/>
      <c r="B12" s="18"/>
      <c r="C12" s="8" t="s">
        <v>233</v>
      </c>
      <c r="D12" s="18"/>
      <c r="E12" s="18"/>
      <c r="F12" s="18"/>
      <c r="G12" s="18"/>
      <c r="H12" s="18"/>
    </row>
    <row r="13">
      <c r="A13" s="18"/>
      <c r="B13" s="18"/>
      <c r="C13" s="18"/>
      <c r="D13" s="80" t="s">
        <v>240</v>
      </c>
      <c r="F13" s="80" t="s">
        <v>243</v>
      </c>
      <c r="H13" s="18"/>
    </row>
    <row r="14">
      <c r="A14" s="18"/>
      <c r="B14" s="18"/>
      <c r="C14" s="8" t="s">
        <v>163</v>
      </c>
      <c r="D14" s="18"/>
      <c r="E14" s="18"/>
      <c r="F14" s="18"/>
      <c r="G14" s="18"/>
      <c r="H14" s="18"/>
    </row>
    <row r="15">
      <c r="A15" s="18"/>
      <c r="B15" s="18"/>
      <c r="C15" s="18"/>
      <c r="D15" s="80" t="s">
        <v>246</v>
      </c>
      <c r="F15" s="18"/>
      <c r="G15" s="18"/>
      <c r="H15" s="18"/>
    </row>
    <row r="16">
      <c r="A16" s="18"/>
      <c r="B16" s="8" t="s">
        <v>61</v>
      </c>
      <c r="C16" s="18"/>
      <c r="D16" s="18"/>
      <c r="E16" s="18"/>
      <c r="F16" s="18"/>
      <c r="G16" s="18"/>
      <c r="H16" s="18"/>
    </row>
    <row r="17">
      <c r="A17" s="18"/>
      <c r="B17" s="18"/>
      <c r="C17" s="8" t="s">
        <v>195</v>
      </c>
      <c r="E17" s="18"/>
      <c r="F17" s="18"/>
      <c r="G17" s="18"/>
      <c r="H17" s="18"/>
    </row>
    <row r="18">
      <c r="A18" s="18"/>
      <c r="B18" s="18"/>
      <c r="C18" s="18"/>
      <c r="D18" s="38" t="s">
        <v>249</v>
      </c>
      <c r="E18" s="18"/>
      <c r="F18" s="18"/>
      <c r="G18" s="18"/>
      <c r="H18" s="18"/>
    </row>
    <row r="19">
      <c r="A19" s="18"/>
      <c r="B19" s="18"/>
      <c r="C19" s="18"/>
      <c r="D19" s="79" t="s">
        <v>252</v>
      </c>
    </row>
    <row r="20">
      <c r="A20" s="18"/>
      <c r="B20" s="8" t="s">
        <v>108</v>
      </c>
      <c r="C20" s="18"/>
      <c r="D20" s="18"/>
      <c r="E20" s="18"/>
      <c r="F20" s="18"/>
      <c r="G20" s="18"/>
      <c r="H20" s="18"/>
    </row>
    <row r="21">
      <c r="A21" s="18"/>
      <c r="B21" s="18"/>
      <c r="C21" s="8" t="s">
        <v>108</v>
      </c>
      <c r="D21" s="18"/>
      <c r="E21" s="18"/>
      <c r="F21" s="18"/>
      <c r="G21" s="18"/>
      <c r="H21" s="18"/>
    </row>
    <row r="22">
      <c r="A22" s="18"/>
      <c r="B22" s="18"/>
      <c r="C22" s="18"/>
      <c r="D22" s="38" t="s">
        <v>257</v>
      </c>
    </row>
    <row r="23">
      <c r="A23" s="18"/>
      <c r="B23" s="8" t="s">
        <v>102</v>
      </c>
      <c r="C23" s="18"/>
      <c r="D23" s="18"/>
      <c r="E23" s="18"/>
      <c r="F23" s="18"/>
      <c r="G23" s="18"/>
      <c r="H23" s="18"/>
    </row>
    <row r="24">
      <c r="A24" s="18"/>
      <c r="B24" s="18"/>
      <c r="C24" s="8" t="s">
        <v>262</v>
      </c>
      <c r="D24" s="18"/>
      <c r="E24" s="18"/>
      <c r="F24" s="18"/>
      <c r="G24" s="18"/>
      <c r="H24" s="18"/>
    </row>
    <row r="25">
      <c r="A25" s="18"/>
      <c r="B25" s="18"/>
      <c r="C25" s="18"/>
      <c r="D25" s="79" t="s">
        <v>265</v>
      </c>
    </row>
    <row r="26">
      <c r="A26" s="18"/>
      <c r="B26" s="8" t="s">
        <v>84</v>
      </c>
      <c r="C26" s="18"/>
      <c r="D26" s="18"/>
      <c r="E26" s="18"/>
      <c r="F26" s="18"/>
      <c r="G26" s="18"/>
      <c r="H26" s="18"/>
    </row>
    <row r="27">
      <c r="A27" s="18"/>
      <c r="B27" s="18"/>
      <c r="C27" s="8" t="s">
        <v>255</v>
      </c>
      <c r="E27" s="18"/>
      <c r="F27" s="18"/>
      <c r="G27" s="18"/>
      <c r="H27" s="18"/>
    </row>
    <row r="28">
      <c r="A28" s="18"/>
      <c r="B28" s="18"/>
      <c r="C28" s="18"/>
      <c r="D28" s="38" t="s">
        <v>271</v>
      </c>
      <c r="E28" s="18"/>
      <c r="F28" s="18"/>
      <c r="G28" s="38" t="s">
        <v>273</v>
      </c>
      <c r="H28" s="18"/>
    </row>
    <row r="29">
      <c r="A29" s="18"/>
      <c r="B29" s="18"/>
      <c r="C29" s="8" t="s">
        <v>266</v>
      </c>
      <c r="D29" s="18"/>
      <c r="E29" s="18"/>
      <c r="F29" s="18"/>
      <c r="G29" s="18"/>
      <c r="H29" s="18"/>
    </row>
    <row r="30">
      <c r="A30" s="18"/>
      <c r="B30" s="18"/>
      <c r="C30" s="18"/>
      <c r="D30" s="38" t="s">
        <v>278</v>
      </c>
      <c r="F30" s="79" t="s">
        <v>279</v>
      </c>
    </row>
    <row r="31">
      <c r="A31" s="18"/>
      <c r="B31" s="18"/>
      <c r="C31" s="8" t="s">
        <v>283</v>
      </c>
      <c r="D31" s="18"/>
      <c r="E31" s="18"/>
      <c r="F31" s="18"/>
      <c r="G31" s="18"/>
      <c r="H31" s="18"/>
    </row>
    <row r="32">
      <c r="A32" s="18"/>
      <c r="B32" s="18"/>
      <c r="C32" s="18"/>
      <c r="D32" s="80" t="s">
        <v>284</v>
      </c>
    </row>
    <row r="33">
      <c r="A33" s="18"/>
      <c r="B33" s="18"/>
      <c r="C33" s="8" t="s">
        <v>286</v>
      </c>
      <c r="D33" s="18"/>
      <c r="E33" s="18"/>
      <c r="F33" s="18"/>
      <c r="G33" s="18"/>
      <c r="H33" s="18"/>
    </row>
    <row r="34">
      <c r="A34" s="18"/>
      <c r="B34" s="18"/>
      <c r="C34" s="18"/>
      <c r="D34" s="38" t="s">
        <v>290</v>
      </c>
      <c r="E34" s="18"/>
      <c r="F34" s="18"/>
      <c r="G34" s="18"/>
      <c r="H34" s="18"/>
    </row>
    <row r="35">
      <c r="A35" s="18"/>
      <c r="B35" s="18"/>
      <c r="C35" s="8" t="s">
        <v>95</v>
      </c>
      <c r="D35" s="18"/>
      <c r="E35" s="18"/>
      <c r="F35" s="18"/>
      <c r="G35" s="18"/>
      <c r="H35" s="18"/>
    </row>
    <row r="36">
      <c r="A36" s="18"/>
      <c r="B36" s="18"/>
      <c r="C36" s="18"/>
      <c r="D36" s="38" t="s">
        <v>295</v>
      </c>
      <c r="E36" s="18"/>
      <c r="F36" s="18"/>
      <c r="G36" s="18"/>
      <c r="H36" s="18"/>
    </row>
  </sheetData>
  <mergeCells count="15">
    <mergeCell ref="C17:D17"/>
    <mergeCell ref="D19:H19"/>
    <mergeCell ref="D22:H22"/>
    <mergeCell ref="D25:H25"/>
    <mergeCell ref="C27:D27"/>
    <mergeCell ref="D30:E30"/>
    <mergeCell ref="F30:H30"/>
    <mergeCell ref="D32:H32"/>
    <mergeCell ref="A1:G1"/>
    <mergeCell ref="C2:G2"/>
    <mergeCell ref="D6:H6"/>
    <mergeCell ref="D8:H8"/>
    <mergeCell ref="D13:E13"/>
    <mergeCell ref="F13:G13"/>
    <mergeCell ref="D15:E1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31</v>
      </c>
      <c r="H1" s="18"/>
    </row>
    <row r="2">
      <c r="A2" s="76" t="s">
        <v>5</v>
      </c>
      <c r="B2" s="81">
        <v>42606.0</v>
      </c>
      <c r="C2" s="18"/>
      <c r="H2" s="18"/>
    </row>
    <row r="3">
      <c r="A3" s="23"/>
      <c r="B3" s="23"/>
      <c r="C3" s="23"/>
      <c r="D3" s="23"/>
      <c r="E3" s="23"/>
      <c r="F3" s="23"/>
      <c r="G3" s="23"/>
      <c r="H3" s="23"/>
    </row>
    <row r="4">
      <c r="A4" s="8" t="s">
        <v>254</v>
      </c>
      <c r="B4" s="18"/>
      <c r="C4" s="18"/>
      <c r="D4" s="18"/>
      <c r="E4" s="18"/>
      <c r="F4" s="18"/>
      <c r="G4" s="18"/>
      <c r="H4" s="18"/>
    </row>
    <row r="5">
      <c r="A5" s="18"/>
      <c r="B5" s="8" t="s">
        <v>259</v>
      </c>
      <c r="C5" s="18"/>
      <c r="D5" s="18"/>
      <c r="E5" s="18"/>
      <c r="F5" s="18"/>
      <c r="G5" s="18"/>
      <c r="H5" s="18"/>
    </row>
    <row r="6">
      <c r="A6" s="18"/>
      <c r="B6" s="18"/>
      <c r="C6" s="38" t="s">
        <v>264</v>
      </c>
      <c r="D6" s="18"/>
      <c r="E6" s="18"/>
      <c r="F6" s="18"/>
      <c r="G6" s="18"/>
      <c r="H6" s="18"/>
    </row>
    <row r="7">
      <c r="A7" s="18"/>
      <c r="B7" s="79" t="s">
        <v>268</v>
      </c>
      <c r="C7" s="18"/>
      <c r="D7" s="18"/>
      <c r="E7" s="18"/>
      <c r="F7" s="18"/>
      <c r="G7" s="18"/>
      <c r="H7" s="18"/>
    </row>
    <row r="8">
      <c r="A8" s="18"/>
      <c r="B8" s="18"/>
      <c r="C8" s="8" t="s">
        <v>270</v>
      </c>
      <c r="D8" s="18"/>
      <c r="E8" s="18"/>
      <c r="F8" s="18"/>
      <c r="G8" s="18"/>
      <c r="H8" s="18"/>
    </row>
    <row r="9">
      <c r="A9" s="8" t="s">
        <v>275</v>
      </c>
      <c r="B9" s="18"/>
      <c r="C9" s="18"/>
      <c r="D9" s="18"/>
      <c r="E9" s="18"/>
      <c r="F9" s="18"/>
      <c r="G9" s="18"/>
      <c r="H9" s="18"/>
    </row>
    <row r="10">
      <c r="A10" s="18"/>
      <c r="B10" s="8" t="s">
        <v>277</v>
      </c>
      <c r="C10" s="18"/>
      <c r="D10" s="18"/>
      <c r="E10" s="18"/>
      <c r="F10" s="18"/>
      <c r="G10" s="18"/>
      <c r="H10" s="18"/>
    </row>
    <row r="11">
      <c r="A11" s="18"/>
      <c r="B11" s="18"/>
      <c r="C11" s="8" t="s">
        <v>9</v>
      </c>
      <c r="D11" s="18"/>
      <c r="E11" s="18"/>
      <c r="F11" s="18"/>
      <c r="G11" s="18"/>
      <c r="H11" s="18"/>
    </row>
    <row r="12">
      <c r="A12" s="18"/>
      <c r="B12" s="18"/>
      <c r="C12" s="18"/>
      <c r="D12" s="8" t="s">
        <v>285</v>
      </c>
      <c r="E12" s="18"/>
      <c r="F12" s="18"/>
      <c r="G12" s="18"/>
      <c r="H12" s="18"/>
    </row>
    <row r="13">
      <c r="A13" s="18"/>
      <c r="B13" s="18"/>
      <c r="C13" s="8" t="s">
        <v>288</v>
      </c>
      <c r="D13" s="18"/>
      <c r="E13" s="18"/>
      <c r="F13" s="18"/>
      <c r="G13" s="18"/>
      <c r="H13" s="18"/>
    </row>
    <row r="14">
      <c r="A14" s="18"/>
      <c r="B14" s="18"/>
      <c r="C14" s="18"/>
      <c r="D14" s="8" t="s">
        <v>291</v>
      </c>
      <c r="E14" s="18"/>
      <c r="F14" s="18"/>
      <c r="G14" s="18"/>
      <c r="H14" s="18"/>
    </row>
    <row r="15">
      <c r="A15" s="18"/>
      <c r="B15" s="8" t="s">
        <v>294</v>
      </c>
      <c r="C15" s="18"/>
      <c r="D15" s="18"/>
      <c r="E15" s="18"/>
      <c r="F15" s="18"/>
      <c r="G15" s="18"/>
      <c r="H15" s="18"/>
    </row>
    <row r="16">
      <c r="A16" s="18"/>
      <c r="B16" s="18"/>
      <c r="C16" s="8" t="s">
        <v>296</v>
      </c>
      <c r="D16" s="18"/>
      <c r="E16" s="18"/>
      <c r="F16" s="18"/>
      <c r="G16" s="18"/>
      <c r="H16" s="18"/>
    </row>
    <row r="17">
      <c r="A17" s="18"/>
      <c r="B17" s="18"/>
      <c r="C17" s="18"/>
      <c r="D17" s="79" t="s">
        <v>298</v>
      </c>
    </row>
    <row r="18">
      <c r="A18" s="18"/>
      <c r="B18" s="18"/>
      <c r="C18" s="8" t="s">
        <v>228</v>
      </c>
      <c r="D18" s="18"/>
      <c r="E18" s="18"/>
      <c r="F18" s="18"/>
      <c r="G18" s="18"/>
      <c r="H18" s="18"/>
    </row>
    <row r="19">
      <c r="A19" s="18"/>
      <c r="B19" s="18"/>
      <c r="C19" s="18"/>
      <c r="D19" s="79" t="s">
        <v>291</v>
      </c>
      <c r="F19" s="18"/>
      <c r="G19" s="18"/>
      <c r="H19" s="18"/>
    </row>
    <row r="20">
      <c r="A20" s="18"/>
      <c r="B20" s="18"/>
      <c r="C20" s="18"/>
      <c r="D20" s="79" t="s">
        <v>304</v>
      </c>
    </row>
    <row r="21">
      <c r="A21" s="18"/>
      <c r="B21" s="18"/>
      <c r="C21" s="8" t="s">
        <v>308</v>
      </c>
      <c r="D21" s="18"/>
      <c r="E21" s="18"/>
      <c r="F21" s="18"/>
      <c r="G21" s="18"/>
      <c r="H21" s="18"/>
    </row>
    <row r="22">
      <c r="A22" s="18"/>
      <c r="B22" s="18"/>
      <c r="C22" s="18"/>
      <c r="D22" s="79" t="s">
        <v>309</v>
      </c>
      <c r="G22" s="18"/>
      <c r="H22" s="18"/>
    </row>
    <row r="23">
      <c r="A23" s="18"/>
      <c r="B23" s="18"/>
      <c r="C23" s="18"/>
      <c r="D23" s="80" t="s">
        <v>311</v>
      </c>
      <c r="F23" s="18"/>
      <c r="G23" s="18"/>
      <c r="H23" s="18"/>
    </row>
    <row r="24">
      <c r="A24" s="18"/>
      <c r="B24" s="8" t="s">
        <v>158</v>
      </c>
      <c r="C24" s="18"/>
      <c r="D24" s="18"/>
      <c r="E24" s="18"/>
      <c r="F24" s="18"/>
      <c r="G24" s="18"/>
      <c r="H24" s="18"/>
    </row>
    <row r="25">
      <c r="A25" s="18"/>
      <c r="B25" s="18"/>
      <c r="C25" s="8" t="s">
        <v>313</v>
      </c>
      <c r="D25" s="18"/>
      <c r="E25" s="18"/>
      <c r="F25" s="18"/>
      <c r="G25" s="18"/>
      <c r="H25" s="18"/>
    </row>
    <row r="26">
      <c r="A26" s="18"/>
      <c r="B26" s="18"/>
      <c r="C26" s="18"/>
      <c r="D26" s="8" t="s">
        <v>315</v>
      </c>
      <c r="E26" s="18"/>
      <c r="F26" s="18"/>
      <c r="G26" s="18"/>
      <c r="H26" s="18"/>
    </row>
    <row r="27">
      <c r="A27" s="18"/>
      <c r="B27" s="18"/>
      <c r="C27" s="8" t="s">
        <v>216</v>
      </c>
      <c r="D27" s="18"/>
      <c r="E27" s="18"/>
      <c r="F27" s="18"/>
      <c r="G27" s="18"/>
      <c r="H27" s="18"/>
    </row>
    <row r="28">
      <c r="A28" s="18"/>
      <c r="B28" s="18"/>
      <c r="C28" s="18"/>
      <c r="D28" s="79" t="s">
        <v>317</v>
      </c>
    </row>
    <row r="29">
      <c r="A29" s="18"/>
      <c r="B29" s="18"/>
      <c r="C29" s="8" t="s">
        <v>319</v>
      </c>
      <c r="D29" s="18"/>
      <c r="E29" s="18"/>
      <c r="F29" s="18"/>
      <c r="G29" s="18"/>
      <c r="H29" s="18"/>
    </row>
    <row r="30">
      <c r="A30" s="18"/>
      <c r="B30" s="18"/>
      <c r="C30" s="18"/>
      <c r="D30" s="8" t="s">
        <v>291</v>
      </c>
      <c r="E30" s="18"/>
      <c r="F30" s="18"/>
      <c r="G30" s="18"/>
      <c r="H30" s="18"/>
    </row>
    <row r="31">
      <c r="A31" s="18"/>
      <c r="B31" s="18"/>
      <c r="C31" s="18"/>
      <c r="D31" s="38" t="s">
        <v>322</v>
      </c>
      <c r="E31" s="18"/>
      <c r="F31" s="18"/>
      <c r="G31" s="18"/>
      <c r="H31" s="18"/>
    </row>
    <row r="32">
      <c r="A32" s="18"/>
      <c r="B32" s="8" t="s">
        <v>154</v>
      </c>
      <c r="C32" s="18"/>
      <c r="D32" s="18"/>
      <c r="E32" s="18"/>
      <c r="F32" s="18"/>
      <c r="G32" s="18"/>
      <c r="H32" s="18"/>
    </row>
    <row r="33">
      <c r="A33" s="18"/>
      <c r="B33" s="18"/>
      <c r="C33" s="8" t="s">
        <v>324</v>
      </c>
      <c r="D33" s="18"/>
      <c r="E33" s="18"/>
      <c r="F33" s="18"/>
      <c r="G33" s="18"/>
      <c r="H33" s="18"/>
    </row>
    <row r="34">
      <c r="A34" s="18"/>
      <c r="B34" s="18"/>
      <c r="C34" s="18"/>
      <c r="D34" s="8" t="s">
        <v>291</v>
      </c>
      <c r="E34" s="18"/>
      <c r="F34" s="18"/>
      <c r="G34" s="18"/>
      <c r="H34" s="18"/>
    </row>
    <row r="35">
      <c r="A35" s="18"/>
      <c r="B35" s="18"/>
      <c r="C35" s="8" t="s">
        <v>328</v>
      </c>
      <c r="D35" s="18"/>
      <c r="E35" s="18"/>
      <c r="F35" s="18"/>
      <c r="G35" s="18"/>
      <c r="H35" s="18"/>
    </row>
    <row r="36">
      <c r="A36" s="18"/>
      <c r="B36" s="18"/>
      <c r="C36" s="18"/>
      <c r="D36" s="8" t="s">
        <v>315</v>
      </c>
      <c r="E36" s="18"/>
      <c r="F36" s="18"/>
      <c r="G36" s="18"/>
      <c r="H36" s="18"/>
    </row>
    <row r="37">
      <c r="A37" s="18"/>
      <c r="B37" s="18"/>
      <c r="C37" s="8" t="s">
        <v>155</v>
      </c>
      <c r="D37" s="18"/>
    </row>
    <row r="38">
      <c r="A38" s="18"/>
      <c r="B38" s="18"/>
      <c r="C38" s="18"/>
      <c r="D38" s="79" t="s">
        <v>331</v>
      </c>
      <c r="F38" s="18"/>
      <c r="G38" s="18"/>
      <c r="H38" s="18"/>
    </row>
    <row r="39">
      <c r="A39" s="18"/>
      <c r="B39" s="18"/>
      <c r="C39" s="8" t="s">
        <v>336</v>
      </c>
      <c r="D39" s="18"/>
      <c r="E39" s="18"/>
      <c r="F39" s="18"/>
      <c r="G39" s="18"/>
      <c r="H39" s="18"/>
    </row>
    <row r="40">
      <c r="A40" s="18"/>
      <c r="B40" s="18"/>
      <c r="C40" s="18"/>
      <c r="D40" s="79" t="s">
        <v>339</v>
      </c>
    </row>
    <row r="41">
      <c r="A41" s="18"/>
      <c r="B41" s="8" t="s">
        <v>146</v>
      </c>
      <c r="C41" s="18"/>
      <c r="D41" s="18"/>
      <c r="E41" s="18"/>
      <c r="F41" s="18"/>
      <c r="G41" s="18"/>
      <c r="H41" s="18"/>
    </row>
    <row r="42">
      <c r="A42" s="18"/>
      <c r="B42" s="18"/>
      <c r="C42" s="8" t="s">
        <v>204</v>
      </c>
      <c r="D42" s="18"/>
      <c r="E42" s="18"/>
      <c r="F42" s="18"/>
      <c r="G42" s="18"/>
      <c r="H42" s="18"/>
    </row>
    <row r="43">
      <c r="A43" s="18"/>
      <c r="B43" s="18"/>
      <c r="C43" s="18"/>
      <c r="D43" s="79" t="s">
        <v>291</v>
      </c>
      <c r="F43" s="18"/>
      <c r="G43" s="18"/>
      <c r="H43" s="18"/>
    </row>
    <row r="44">
      <c r="A44" s="8" t="s">
        <v>321</v>
      </c>
      <c r="B44" s="18"/>
      <c r="C44" s="18"/>
      <c r="D44" s="18"/>
      <c r="E44" s="18"/>
      <c r="F44" s="18"/>
      <c r="G44" s="18"/>
      <c r="H44" s="18"/>
    </row>
    <row r="45">
      <c r="A45" s="18"/>
      <c r="B45" s="8" t="s">
        <v>70</v>
      </c>
      <c r="C45" s="18"/>
      <c r="D45" s="18"/>
      <c r="E45" s="18"/>
      <c r="F45" s="18"/>
      <c r="G45" s="18"/>
      <c r="H45" s="18"/>
    </row>
    <row r="46">
      <c r="A46" s="18"/>
      <c r="B46" s="18"/>
      <c r="C46" s="8" t="s">
        <v>301</v>
      </c>
      <c r="D46" s="18"/>
      <c r="E46" s="18"/>
      <c r="F46" s="18"/>
      <c r="G46" s="18"/>
      <c r="H46" s="18"/>
    </row>
    <row r="47">
      <c r="A47" s="18"/>
      <c r="B47" s="18"/>
      <c r="C47" s="18"/>
      <c r="D47" s="79" t="s">
        <v>347</v>
      </c>
    </row>
    <row r="48">
      <c r="A48" s="18"/>
      <c r="B48" s="18"/>
      <c r="C48" s="8" t="s">
        <v>348</v>
      </c>
      <c r="D48" s="18"/>
      <c r="E48" s="18"/>
      <c r="F48" s="18"/>
      <c r="G48" s="18"/>
      <c r="H48" s="18"/>
    </row>
    <row r="49">
      <c r="A49" s="18"/>
      <c r="B49" s="18"/>
      <c r="C49" s="18"/>
      <c r="D49" s="79" t="s">
        <v>350</v>
      </c>
      <c r="F49" s="80" t="s">
        <v>353</v>
      </c>
      <c r="G49" s="18"/>
      <c r="H49" s="18"/>
    </row>
    <row r="50">
      <c r="A50" s="18"/>
      <c r="B50" s="18"/>
      <c r="C50" s="18"/>
      <c r="D50" s="80" t="s">
        <v>355</v>
      </c>
      <c r="F50" s="80" t="s">
        <v>356</v>
      </c>
      <c r="H50" s="18"/>
    </row>
    <row r="51">
      <c r="A51" s="18"/>
      <c r="B51" s="18"/>
      <c r="C51" s="8" t="s">
        <v>307</v>
      </c>
      <c r="D51" s="18"/>
      <c r="E51" s="18"/>
      <c r="F51" s="18"/>
      <c r="G51" s="18"/>
      <c r="H51" s="18"/>
    </row>
    <row r="52">
      <c r="A52" s="18"/>
      <c r="B52" s="18"/>
      <c r="C52" s="18"/>
      <c r="D52" s="80" t="s">
        <v>361</v>
      </c>
      <c r="F52" s="80" t="s">
        <v>362</v>
      </c>
      <c r="H52" s="18"/>
    </row>
    <row r="53">
      <c r="A53" s="18"/>
      <c r="B53" s="18"/>
      <c r="C53" s="18"/>
      <c r="D53" s="79" t="s">
        <v>364</v>
      </c>
    </row>
    <row r="54">
      <c r="A54" s="18"/>
      <c r="B54" s="18"/>
      <c r="C54" s="8" t="s">
        <v>72</v>
      </c>
      <c r="D54" s="18"/>
      <c r="F54" s="18"/>
      <c r="G54" s="18"/>
      <c r="H54" s="18"/>
    </row>
    <row r="55">
      <c r="A55" s="18"/>
      <c r="B55" s="18"/>
      <c r="C55" s="18"/>
      <c r="D55" s="80" t="s">
        <v>366</v>
      </c>
      <c r="F55" s="18"/>
      <c r="G55" s="18"/>
      <c r="H55" s="18"/>
    </row>
    <row r="56">
      <c r="A56" s="18"/>
      <c r="B56" s="18"/>
      <c r="C56" s="18"/>
      <c r="D56" s="79" t="s">
        <v>369</v>
      </c>
    </row>
    <row r="57">
      <c r="A57" s="18"/>
      <c r="B57" s="8" t="s">
        <v>162</v>
      </c>
      <c r="C57" s="18"/>
      <c r="D57" s="18"/>
      <c r="E57" s="18"/>
      <c r="F57" s="18"/>
      <c r="G57" s="18"/>
      <c r="H57" s="18"/>
    </row>
    <row r="58">
      <c r="A58" s="18"/>
      <c r="B58" s="18"/>
      <c r="C58" s="8" t="s">
        <v>274</v>
      </c>
      <c r="D58" s="18"/>
      <c r="E58" s="18"/>
      <c r="F58" s="18"/>
      <c r="G58" s="18"/>
      <c r="H58" s="18"/>
    </row>
    <row r="59">
      <c r="A59" s="18"/>
      <c r="B59" s="18"/>
      <c r="C59" s="18"/>
      <c r="D59" s="79" t="s">
        <v>372</v>
      </c>
    </row>
    <row r="60">
      <c r="A60" s="18"/>
      <c r="B60" s="8" t="s">
        <v>39</v>
      </c>
      <c r="C60" s="18"/>
      <c r="D60" s="18"/>
      <c r="E60" s="18"/>
      <c r="F60" s="18"/>
      <c r="G60" s="18"/>
      <c r="H60" s="18"/>
    </row>
    <row r="61">
      <c r="A61" s="18"/>
      <c r="B61" s="18"/>
      <c r="C61" s="8" t="s">
        <v>375</v>
      </c>
      <c r="D61" s="18"/>
      <c r="E61" s="18"/>
      <c r="F61" s="18"/>
      <c r="G61" s="18"/>
      <c r="H61" s="18"/>
    </row>
    <row r="62">
      <c r="A62" s="18"/>
      <c r="B62" s="18"/>
      <c r="C62" s="18"/>
      <c r="D62" s="79" t="s">
        <v>379</v>
      </c>
      <c r="H62" s="18"/>
    </row>
    <row r="63">
      <c r="A63" s="18"/>
      <c r="B63" s="18"/>
      <c r="C63" s="18"/>
      <c r="D63" s="80" t="s">
        <v>381</v>
      </c>
      <c r="F63" s="18"/>
      <c r="G63" s="18"/>
      <c r="H63" s="18"/>
    </row>
    <row r="64">
      <c r="A64" s="18"/>
      <c r="B64" s="8" t="s">
        <v>127</v>
      </c>
      <c r="C64" s="18"/>
      <c r="D64" s="18"/>
      <c r="E64" s="18"/>
      <c r="F64" s="18"/>
      <c r="G64" s="18"/>
      <c r="H64" s="18"/>
    </row>
    <row r="65">
      <c r="A65" s="18"/>
      <c r="B65" s="18"/>
      <c r="C65" s="8" t="s">
        <v>384</v>
      </c>
      <c r="D65" s="18"/>
      <c r="E65" s="18"/>
      <c r="F65" s="18"/>
      <c r="G65" s="18"/>
      <c r="H65" s="18"/>
    </row>
    <row r="66">
      <c r="A66" s="18"/>
      <c r="B66" s="18"/>
      <c r="C66" s="18"/>
      <c r="D66" s="79" t="s">
        <v>385</v>
      </c>
    </row>
    <row r="67">
      <c r="A67" s="18"/>
      <c r="B67" s="8" t="s">
        <v>61</v>
      </c>
      <c r="C67" s="18"/>
      <c r="D67" s="18"/>
      <c r="E67" s="18"/>
      <c r="F67" s="18"/>
      <c r="G67" s="18"/>
      <c r="H67" s="18"/>
    </row>
    <row r="68">
      <c r="A68" s="18"/>
      <c r="B68" s="18"/>
      <c r="C68" s="8" t="s">
        <v>325</v>
      </c>
      <c r="D68" s="18"/>
      <c r="E68" s="18"/>
      <c r="F68" s="18"/>
      <c r="G68" s="18"/>
      <c r="H68" s="18"/>
    </row>
    <row r="69">
      <c r="A69" s="18"/>
      <c r="B69" s="18"/>
      <c r="C69" s="18"/>
      <c r="D69" s="80" t="s">
        <v>386</v>
      </c>
      <c r="G69" s="18"/>
      <c r="H69" s="18"/>
    </row>
    <row r="70">
      <c r="A70" s="18"/>
      <c r="B70" s="18"/>
      <c r="C70" s="8" t="s">
        <v>195</v>
      </c>
      <c r="D70" s="18"/>
      <c r="E70" s="18"/>
      <c r="F70" s="18"/>
      <c r="G70" s="18"/>
      <c r="H70" s="18"/>
    </row>
    <row r="71">
      <c r="A71" s="18"/>
      <c r="B71" s="18"/>
      <c r="C71" s="18"/>
      <c r="D71" s="80" t="s">
        <v>388</v>
      </c>
      <c r="G71" s="18"/>
      <c r="H71" s="18"/>
    </row>
    <row r="72">
      <c r="A72" s="18"/>
      <c r="B72" s="18"/>
      <c r="C72" s="18"/>
      <c r="D72" s="80" t="s">
        <v>390</v>
      </c>
      <c r="G72" s="18"/>
      <c r="H72" s="18"/>
    </row>
    <row r="73">
      <c r="A73" s="18"/>
      <c r="B73" s="8" t="s">
        <v>108</v>
      </c>
      <c r="C73" s="18"/>
      <c r="D73" s="18"/>
      <c r="E73" s="18"/>
      <c r="F73" s="18"/>
      <c r="G73" s="18"/>
      <c r="H73" s="18"/>
    </row>
    <row r="74">
      <c r="A74" s="18"/>
      <c r="B74" s="18"/>
      <c r="C74" s="8" t="s">
        <v>393</v>
      </c>
      <c r="D74" s="18"/>
      <c r="E74" s="18"/>
      <c r="F74" s="18"/>
      <c r="G74" s="18"/>
      <c r="H74" s="18"/>
    </row>
    <row r="75">
      <c r="A75" s="18"/>
      <c r="B75" s="18"/>
      <c r="C75" s="18"/>
      <c r="D75" s="80" t="s">
        <v>394</v>
      </c>
      <c r="F75" s="18"/>
      <c r="G75" s="18"/>
      <c r="H75" s="18"/>
    </row>
    <row r="76">
      <c r="A76" s="18"/>
      <c r="B76" s="18"/>
      <c r="C76" s="8" t="s">
        <v>112</v>
      </c>
      <c r="D76" s="18"/>
      <c r="E76" s="18"/>
      <c r="F76" s="18"/>
      <c r="G76" s="18"/>
      <c r="H76" s="18"/>
    </row>
    <row r="77">
      <c r="A77" s="18"/>
      <c r="B77" s="18"/>
      <c r="C77" s="18"/>
      <c r="D77" s="80" t="s">
        <v>396</v>
      </c>
      <c r="E77" s="18"/>
      <c r="F77" s="18"/>
      <c r="G77" s="18"/>
      <c r="H77" s="18"/>
    </row>
    <row r="78">
      <c r="A78" s="18"/>
      <c r="B78" s="18"/>
      <c r="C78" s="8" t="s">
        <v>110</v>
      </c>
      <c r="D78" s="18"/>
      <c r="E78" s="18"/>
      <c r="F78" s="18"/>
      <c r="G78" s="18"/>
      <c r="H78" s="18"/>
    </row>
    <row r="79">
      <c r="A79" s="18"/>
      <c r="B79" s="18"/>
      <c r="C79" s="18"/>
      <c r="D79" s="79" t="s">
        <v>400</v>
      </c>
      <c r="H79" s="18"/>
    </row>
    <row r="80">
      <c r="A80" s="18"/>
      <c r="B80" s="8" t="s">
        <v>401</v>
      </c>
      <c r="C80" s="18"/>
      <c r="D80" s="18"/>
      <c r="E80" s="18"/>
      <c r="F80" s="18"/>
      <c r="G80" s="18"/>
      <c r="H80" s="18"/>
    </row>
    <row r="81">
      <c r="A81" s="18"/>
      <c r="B81" s="18"/>
      <c r="C81" s="8" t="s">
        <v>124</v>
      </c>
      <c r="D81" s="18"/>
      <c r="E81" s="18"/>
      <c r="F81" s="18"/>
      <c r="G81" s="18"/>
      <c r="H81" s="18"/>
    </row>
    <row r="82">
      <c r="A82" s="18"/>
      <c r="B82" s="18"/>
      <c r="C82" s="18"/>
      <c r="D82" s="79" t="s">
        <v>406</v>
      </c>
      <c r="H82" s="18"/>
    </row>
    <row r="83">
      <c r="A83" s="18"/>
      <c r="B83" s="18"/>
      <c r="C83" s="8" t="s">
        <v>139</v>
      </c>
      <c r="D83" s="18"/>
      <c r="E83" s="18"/>
      <c r="F83" s="18"/>
      <c r="G83" s="18"/>
      <c r="H83" s="18"/>
    </row>
    <row r="84">
      <c r="A84" s="18"/>
      <c r="B84" s="18"/>
      <c r="C84" s="18"/>
      <c r="D84" s="80" t="s">
        <v>412</v>
      </c>
      <c r="F84" s="18"/>
      <c r="G84" s="18"/>
      <c r="H84" s="18"/>
    </row>
    <row r="85">
      <c r="A85" s="18"/>
      <c r="B85" s="18"/>
      <c r="C85" s="18"/>
      <c r="D85" s="79" t="s">
        <v>419</v>
      </c>
      <c r="H85" s="18"/>
    </row>
    <row r="86">
      <c r="A86" s="18"/>
      <c r="B86" s="8" t="s">
        <v>102</v>
      </c>
      <c r="C86" s="18"/>
      <c r="D86" s="18"/>
      <c r="E86" s="18"/>
      <c r="F86" s="18"/>
      <c r="G86" s="18"/>
      <c r="H86" s="18"/>
    </row>
    <row r="87">
      <c r="A87" s="18"/>
      <c r="B87" s="18"/>
      <c r="C87" s="8" t="s">
        <v>287</v>
      </c>
      <c r="D87" s="18"/>
      <c r="E87" s="18"/>
      <c r="F87" s="18"/>
      <c r="G87" s="18"/>
      <c r="H87" s="18"/>
    </row>
    <row r="88">
      <c r="A88" s="18"/>
      <c r="B88" s="18"/>
      <c r="C88" s="18"/>
      <c r="D88" s="80" t="s">
        <v>426</v>
      </c>
      <c r="H88" s="18"/>
    </row>
    <row r="89">
      <c r="A89" s="18"/>
      <c r="B89" s="123"/>
      <c r="C89" s="8" t="s">
        <v>429</v>
      </c>
      <c r="D89" s="18"/>
      <c r="E89" s="18"/>
      <c r="F89" s="18"/>
      <c r="G89" s="18"/>
      <c r="H89" s="18"/>
    </row>
    <row r="90">
      <c r="A90" s="18"/>
      <c r="B90" s="18"/>
      <c r="C90" s="18"/>
      <c r="D90" s="79" t="s">
        <v>434</v>
      </c>
    </row>
    <row r="91">
      <c r="A91" s="18"/>
      <c r="B91" s="18"/>
      <c r="C91" s="8" t="s">
        <v>437</v>
      </c>
      <c r="D91" s="18"/>
      <c r="E91" s="18"/>
      <c r="F91" s="18"/>
      <c r="G91" s="18"/>
      <c r="H91" s="18"/>
    </row>
    <row r="92">
      <c r="A92" s="18"/>
      <c r="B92" s="18"/>
      <c r="C92" s="18"/>
      <c r="D92" s="79" t="s">
        <v>442</v>
      </c>
    </row>
    <row r="93">
      <c r="A93" s="18"/>
      <c r="B93" s="18"/>
      <c r="C93" s="8" t="s">
        <v>446</v>
      </c>
      <c r="D93" s="18"/>
      <c r="E93" s="18"/>
      <c r="F93" s="18"/>
      <c r="G93" s="18"/>
      <c r="H93" s="18"/>
    </row>
    <row r="94">
      <c r="A94" s="18"/>
      <c r="B94" s="18"/>
      <c r="C94" s="18"/>
      <c r="D94" s="80" t="s">
        <v>448</v>
      </c>
      <c r="G94" s="18"/>
      <c r="H94" s="18"/>
    </row>
    <row r="95">
      <c r="A95" s="18"/>
      <c r="B95" s="8" t="s">
        <v>84</v>
      </c>
      <c r="C95" s="18"/>
      <c r="D95" s="18"/>
      <c r="E95" s="18"/>
      <c r="F95" s="18"/>
      <c r="G95" s="18"/>
      <c r="H95" s="18"/>
    </row>
    <row r="96">
      <c r="A96" s="18"/>
      <c r="B96" s="18"/>
      <c r="C96" s="8" t="s">
        <v>95</v>
      </c>
      <c r="D96" s="18"/>
      <c r="E96" s="18"/>
      <c r="F96" s="18"/>
      <c r="G96" s="18"/>
      <c r="H96" s="18"/>
    </row>
    <row r="97">
      <c r="A97" s="18"/>
      <c r="B97" s="18"/>
      <c r="C97" s="18"/>
      <c r="D97" s="80" t="s">
        <v>454</v>
      </c>
      <c r="G97" s="18"/>
      <c r="H97" s="18"/>
    </row>
    <row r="98">
      <c r="A98" s="18"/>
      <c r="B98" s="8" t="s">
        <v>92</v>
      </c>
      <c r="C98" s="18"/>
      <c r="D98" s="18"/>
      <c r="E98" s="18"/>
      <c r="F98" s="18"/>
      <c r="G98" s="18"/>
      <c r="H98" s="18"/>
    </row>
    <row r="99">
      <c r="A99" s="18"/>
      <c r="B99" s="18"/>
      <c r="C99" s="8" t="s">
        <v>458</v>
      </c>
      <c r="D99" s="18"/>
      <c r="E99" s="18"/>
      <c r="F99" s="18"/>
      <c r="G99" s="18"/>
      <c r="H99" s="18"/>
    </row>
    <row r="100">
      <c r="A100" s="18"/>
      <c r="B100" s="18"/>
      <c r="C100" s="18"/>
      <c r="D100" s="79" t="s">
        <v>461</v>
      </c>
    </row>
    <row r="101">
      <c r="A101" s="18"/>
      <c r="B101" s="8" t="s">
        <v>85</v>
      </c>
      <c r="C101" s="18"/>
      <c r="D101" s="18"/>
      <c r="E101" s="18"/>
      <c r="F101" s="18"/>
      <c r="G101" s="18"/>
      <c r="H101" s="18"/>
    </row>
    <row r="102">
      <c r="A102" s="18"/>
      <c r="B102" s="18"/>
      <c r="C102" s="8" t="s">
        <v>464</v>
      </c>
      <c r="D102" s="18"/>
      <c r="E102" s="18"/>
      <c r="F102" s="18"/>
      <c r="G102" s="18"/>
      <c r="H102" s="18"/>
    </row>
    <row r="103">
      <c r="A103" s="18"/>
      <c r="B103" s="18"/>
      <c r="C103" s="18"/>
      <c r="D103" s="80" t="s">
        <v>465</v>
      </c>
      <c r="F103" s="18"/>
      <c r="G103" s="18"/>
      <c r="H103" s="18"/>
    </row>
    <row r="104">
      <c r="A104" s="18"/>
      <c r="B104" s="18"/>
      <c r="C104" s="8" t="s">
        <v>168</v>
      </c>
      <c r="D104" s="18"/>
      <c r="E104" s="18"/>
      <c r="F104" s="18"/>
      <c r="G104" s="18"/>
      <c r="H104" s="18"/>
    </row>
    <row r="105">
      <c r="A105" s="18"/>
      <c r="B105" s="18"/>
      <c r="C105" s="18"/>
      <c r="D105" s="80" t="s">
        <v>466</v>
      </c>
      <c r="G105" s="18"/>
      <c r="H105" s="18"/>
    </row>
    <row r="106">
      <c r="A106" s="18"/>
      <c r="B106" s="18"/>
      <c r="C106" s="8" t="s">
        <v>87</v>
      </c>
      <c r="D106" s="18"/>
      <c r="E106" s="18"/>
      <c r="F106" s="18"/>
      <c r="G106" s="18"/>
      <c r="H106" s="18"/>
    </row>
    <row r="107">
      <c r="A107" s="18"/>
      <c r="B107" s="18"/>
      <c r="C107" s="18"/>
      <c r="D107" s="80" t="s">
        <v>469</v>
      </c>
      <c r="G107" s="18"/>
      <c r="H107" s="18"/>
    </row>
    <row r="108">
      <c r="A108" s="18"/>
      <c r="B108" s="8" t="s">
        <v>49</v>
      </c>
      <c r="C108" s="18"/>
      <c r="D108" s="18"/>
      <c r="E108" s="18"/>
      <c r="F108" s="18"/>
      <c r="G108" s="18"/>
      <c r="H108" s="18"/>
    </row>
    <row r="109">
      <c r="A109" s="18"/>
      <c r="B109" s="18"/>
      <c r="C109" s="8" t="s">
        <v>51</v>
      </c>
      <c r="D109" s="18"/>
      <c r="E109" s="18"/>
      <c r="F109" s="18"/>
      <c r="G109" s="18"/>
      <c r="H109" s="18"/>
    </row>
    <row r="110">
      <c r="A110" s="18"/>
      <c r="B110" s="18"/>
      <c r="C110" s="18"/>
      <c r="D110" s="79" t="s">
        <v>472</v>
      </c>
      <c r="G110" s="18"/>
      <c r="H110" s="18"/>
    </row>
    <row r="111">
      <c r="A111" s="18"/>
      <c r="B111" s="18"/>
      <c r="C111" s="8" t="s">
        <v>473</v>
      </c>
      <c r="D111" s="18"/>
      <c r="E111" s="18"/>
      <c r="F111" s="18"/>
      <c r="G111" s="18"/>
      <c r="H111" s="18"/>
    </row>
    <row r="112">
      <c r="A112" s="18"/>
      <c r="B112" s="18"/>
      <c r="C112" s="18"/>
      <c r="D112" s="80" t="s">
        <v>475</v>
      </c>
      <c r="F112" s="18"/>
      <c r="G112" s="18"/>
      <c r="H112" s="18"/>
    </row>
    <row r="113">
      <c r="A113" s="123"/>
      <c r="B113" s="18"/>
      <c r="C113" s="18"/>
      <c r="D113" s="79" t="s">
        <v>476</v>
      </c>
    </row>
    <row r="114">
      <c r="A114" s="123"/>
      <c r="B114" s="18"/>
      <c r="C114" s="8" t="s">
        <v>477</v>
      </c>
      <c r="D114" s="18"/>
      <c r="E114" s="18"/>
      <c r="F114" s="18"/>
      <c r="G114" s="18"/>
      <c r="H114" s="18"/>
    </row>
    <row r="115">
      <c r="A115" s="123"/>
      <c r="B115" s="18"/>
      <c r="C115" s="18"/>
      <c r="D115" s="155" t="s">
        <v>478</v>
      </c>
    </row>
    <row r="116">
      <c r="A116" s="123"/>
      <c r="B116" s="18"/>
      <c r="C116" s="18"/>
      <c r="D116" s="80" t="s">
        <v>482</v>
      </c>
    </row>
    <row r="117">
      <c r="A117" s="123"/>
      <c r="B117" s="18"/>
      <c r="C117" s="18"/>
      <c r="D117" s="80" t="s">
        <v>486</v>
      </c>
      <c r="F117" s="80" t="s">
        <v>488</v>
      </c>
      <c r="H117" s="18"/>
    </row>
    <row r="118">
      <c r="A118" s="123"/>
      <c r="B118" s="18"/>
      <c r="C118" s="18"/>
      <c r="D118" s="80" t="s">
        <v>490</v>
      </c>
      <c r="F118" s="80"/>
      <c r="H118" s="18"/>
    </row>
    <row r="119">
      <c r="A119" s="123"/>
      <c r="B119" s="18"/>
      <c r="C119" s="8" t="s">
        <v>211</v>
      </c>
      <c r="D119" s="18"/>
      <c r="E119" s="18"/>
      <c r="F119" s="18"/>
      <c r="G119" s="18"/>
      <c r="H119" s="18"/>
    </row>
    <row r="120">
      <c r="A120" s="123"/>
      <c r="B120" s="18"/>
      <c r="C120" s="18"/>
      <c r="D120" s="79" t="s">
        <v>497</v>
      </c>
    </row>
    <row r="121">
      <c r="A121" s="123"/>
      <c r="B121" s="18"/>
      <c r="C121" s="18"/>
      <c r="D121" s="168" t="s">
        <v>500</v>
      </c>
      <c r="F121" s="79" t="s">
        <v>503</v>
      </c>
      <c r="H121" s="18"/>
    </row>
    <row r="122">
      <c r="A122" s="123"/>
      <c r="B122" s="18"/>
      <c r="C122" s="18"/>
      <c r="D122" s="171" t="s">
        <v>513</v>
      </c>
      <c r="F122" s="79" t="s">
        <v>514</v>
      </c>
      <c r="H122" s="18"/>
    </row>
    <row r="123">
      <c r="A123" s="123"/>
      <c r="B123" s="18"/>
      <c r="C123" s="18"/>
      <c r="D123" s="80" t="s">
        <v>519</v>
      </c>
      <c r="F123" s="18"/>
      <c r="G123" s="18"/>
      <c r="H123" s="18"/>
    </row>
    <row r="124">
      <c r="A124" s="8" t="s">
        <v>522</v>
      </c>
      <c r="B124" s="18"/>
      <c r="C124" s="18"/>
      <c r="D124" s="18"/>
      <c r="E124" s="18"/>
      <c r="F124" s="18"/>
      <c r="G124" s="18"/>
      <c r="H124" s="18"/>
    </row>
    <row r="125">
      <c r="A125" s="123"/>
      <c r="B125" s="8" t="s">
        <v>523</v>
      </c>
      <c r="C125" s="18"/>
      <c r="D125" s="18"/>
      <c r="E125" s="18"/>
      <c r="F125" s="18"/>
      <c r="G125" s="18"/>
      <c r="H125" s="18"/>
    </row>
    <row r="126">
      <c r="A126" s="123"/>
      <c r="B126" s="18"/>
      <c r="C126" s="173" t="s">
        <v>525</v>
      </c>
    </row>
    <row r="127">
      <c r="A127" s="123"/>
      <c r="B127" s="38" t="s">
        <v>527</v>
      </c>
      <c r="C127" s="18"/>
      <c r="D127" s="18"/>
      <c r="E127" s="18"/>
      <c r="F127" s="18"/>
      <c r="G127" s="18"/>
      <c r="H127" s="18"/>
    </row>
    <row r="128">
      <c r="A128" s="123"/>
      <c r="B128" s="18"/>
      <c r="C128" s="173" t="s">
        <v>528</v>
      </c>
    </row>
    <row r="129">
      <c r="A129" s="123"/>
      <c r="B129" s="18"/>
      <c r="C129" s="18"/>
      <c r="D129" s="18"/>
      <c r="E129" s="18"/>
      <c r="F129" s="18"/>
      <c r="G129" s="18"/>
      <c r="H129" s="18"/>
    </row>
    <row r="130">
      <c r="A130" s="176" t="s">
        <v>533</v>
      </c>
    </row>
  </sheetData>
  <mergeCells count="61">
    <mergeCell ref="D107:F107"/>
    <mergeCell ref="D110:F110"/>
    <mergeCell ref="D112:E112"/>
    <mergeCell ref="D113:H113"/>
    <mergeCell ref="D115:H115"/>
    <mergeCell ref="D116:H116"/>
    <mergeCell ref="F117:G117"/>
    <mergeCell ref="D117:E117"/>
    <mergeCell ref="D118:E118"/>
    <mergeCell ref="F118:G118"/>
    <mergeCell ref="D120:H120"/>
    <mergeCell ref="D121:E121"/>
    <mergeCell ref="F121:G121"/>
    <mergeCell ref="F122:G122"/>
    <mergeCell ref="A1:G1"/>
    <mergeCell ref="C2:G2"/>
    <mergeCell ref="D17:H17"/>
    <mergeCell ref="D19:E19"/>
    <mergeCell ref="D20:H20"/>
    <mergeCell ref="D22:F22"/>
    <mergeCell ref="D23:E23"/>
    <mergeCell ref="D28:H28"/>
    <mergeCell ref="D37:H37"/>
    <mergeCell ref="D38:E38"/>
    <mergeCell ref="D40:H40"/>
    <mergeCell ref="D43:E43"/>
    <mergeCell ref="D47:H47"/>
    <mergeCell ref="D49:E49"/>
    <mergeCell ref="D50:E50"/>
    <mergeCell ref="F50:G50"/>
    <mergeCell ref="D52:E52"/>
    <mergeCell ref="F52:G52"/>
    <mergeCell ref="D53:H53"/>
    <mergeCell ref="D54:E54"/>
    <mergeCell ref="D55:E55"/>
    <mergeCell ref="D56:H56"/>
    <mergeCell ref="D59:H59"/>
    <mergeCell ref="D62:G62"/>
    <mergeCell ref="D63:E63"/>
    <mergeCell ref="D66:H66"/>
    <mergeCell ref="D69:F69"/>
    <mergeCell ref="D71:F71"/>
    <mergeCell ref="D72:F72"/>
    <mergeCell ref="D75:E75"/>
    <mergeCell ref="D79:G79"/>
    <mergeCell ref="D82:G82"/>
    <mergeCell ref="D84:E84"/>
    <mergeCell ref="D85:G85"/>
    <mergeCell ref="D88:G88"/>
    <mergeCell ref="D90:H90"/>
    <mergeCell ref="D92:H92"/>
    <mergeCell ref="D94:F94"/>
    <mergeCell ref="D97:F97"/>
    <mergeCell ref="D100:H100"/>
    <mergeCell ref="D103:E103"/>
    <mergeCell ref="D105:F105"/>
    <mergeCell ref="D122:E122"/>
    <mergeCell ref="D123:E123"/>
    <mergeCell ref="C126:H126"/>
    <mergeCell ref="C128:H128"/>
    <mergeCell ref="A130:H13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23</v>
      </c>
      <c r="H1" s="18"/>
    </row>
    <row r="2">
      <c r="A2" s="85" t="s">
        <v>5</v>
      </c>
      <c r="B2" s="86">
        <v>42598.0</v>
      </c>
      <c r="C2" s="18"/>
      <c r="H2" s="18"/>
    </row>
    <row r="3">
      <c r="A3" s="23"/>
      <c r="B3" s="23"/>
      <c r="C3" s="23"/>
      <c r="D3" s="23"/>
      <c r="E3" s="23"/>
      <c r="F3" s="23"/>
      <c r="G3" s="23"/>
      <c r="H3" s="23"/>
    </row>
    <row r="4">
      <c r="A4" s="8" t="s">
        <v>321</v>
      </c>
      <c r="B4" s="18"/>
      <c r="C4" s="18"/>
      <c r="D4" s="18"/>
      <c r="E4" s="18"/>
      <c r="F4" s="18"/>
      <c r="G4" s="18"/>
      <c r="H4" s="18"/>
    </row>
    <row r="5">
      <c r="A5" s="18"/>
      <c r="B5" s="8" t="s">
        <v>323</v>
      </c>
      <c r="C5" s="18"/>
      <c r="D5" s="18"/>
      <c r="E5" s="18"/>
      <c r="F5" s="18"/>
      <c r="G5" s="18"/>
      <c r="H5" s="18"/>
    </row>
    <row r="6">
      <c r="A6" s="18"/>
      <c r="B6" s="18"/>
      <c r="C6" s="8" t="s">
        <v>325</v>
      </c>
      <c r="D6" s="18"/>
      <c r="E6" s="18"/>
      <c r="F6" s="18"/>
      <c r="G6" s="18"/>
      <c r="H6" s="18"/>
    </row>
    <row r="7">
      <c r="A7" s="18"/>
      <c r="B7" s="18"/>
      <c r="C7" s="18"/>
      <c r="D7" s="38" t="s">
        <v>327</v>
      </c>
      <c r="E7" s="18"/>
      <c r="F7" s="18"/>
      <c r="G7" s="18"/>
      <c r="H7" s="18"/>
    </row>
    <row r="8">
      <c r="A8" s="18"/>
      <c r="B8" s="18"/>
      <c r="C8" s="8" t="s">
        <v>201</v>
      </c>
      <c r="D8" s="18"/>
      <c r="E8" s="18"/>
      <c r="F8" s="18"/>
      <c r="G8" s="18"/>
      <c r="H8" s="18"/>
    </row>
    <row r="9">
      <c r="A9" s="18"/>
      <c r="B9" s="18"/>
      <c r="C9" s="18"/>
      <c r="D9" s="38" t="s">
        <v>329</v>
      </c>
      <c r="E9" s="18"/>
      <c r="F9" s="18"/>
      <c r="G9" s="18"/>
      <c r="H9" s="18"/>
    </row>
    <row r="10">
      <c r="A10" s="18"/>
      <c r="B10" s="18"/>
      <c r="C10" s="18"/>
      <c r="D10" s="38" t="s">
        <v>332</v>
      </c>
      <c r="E10" s="18"/>
      <c r="F10" s="18"/>
      <c r="G10" s="18"/>
      <c r="H10" s="18"/>
    </row>
    <row r="11">
      <c r="A11" s="18"/>
      <c r="B11" s="18"/>
      <c r="C11" s="18"/>
      <c r="D11" s="79" t="s">
        <v>335</v>
      </c>
    </row>
    <row r="12">
      <c r="A12" s="8" t="s">
        <v>275</v>
      </c>
      <c r="B12" s="18"/>
      <c r="C12" s="18"/>
      <c r="D12" s="18"/>
      <c r="E12" s="18"/>
      <c r="F12" s="18"/>
      <c r="G12" s="18"/>
      <c r="H12" s="18"/>
    </row>
    <row r="13">
      <c r="A13" s="18"/>
      <c r="B13" s="8" t="s">
        <v>158</v>
      </c>
      <c r="C13" s="18"/>
      <c r="D13" s="18"/>
      <c r="E13" s="18"/>
      <c r="F13" s="18"/>
      <c r="G13" s="18"/>
      <c r="H13" s="18"/>
    </row>
    <row r="14">
      <c r="A14" s="18"/>
      <c r="B14" s="18"/>
      <c r="C14" s="8" t="s">
        <v>340</v>
      </c>
      <c r="D14" s="18"/>
      <c r="E14" s="18"/>
      <c r="F14" s="18"/>
      <c r="G14" s="18"/>
      <c r="H14" s="18"/>
    </row>
    <row r="15">
      <c r="A15" s="18"/>
      <c r="B15" s="18"/>
      <c r="C15" s="18"/>
      <c r="D15" s="8" t="s">
        <v>341</v>
      </c>
      <c r="E15" s="18"/>
      <c r="F15" s="18"/>
      <c r="G15" s="18"/>
      <c r="H15" s="18"/>
    </row>
    <row r="16">
      <c r="A16" s="18"/>
      <c r="B16" s="18"/>
      <c r="C16" s="18"/>
      <c r="D16" s="79" t="s">
        <v>343</v>
      </c>
    </row>
  </sheetData>
  <mergeCells count="4">
    <mergeCell ref="A1:G1"/>
    <mergeCell ref="C2:G2"/>
    <mergeCell ref="D11:H11"/>
    <mergeCell ref="D16:H1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10" width="12.63"/>
    <col customWidth="1" min="11" max="11" width="18.88"/>
  </cols>
  <sheetData>
    <row r="1" ht="12.75" customHeight="1">
      <c r="A1" s="87" t="s">
        <v>334</v>
      </c>
      <c r="B1" s="88" t="s">
        <v>338</v>
      </c>
      <c r="K1" s="89"/>
    </row>
    <row r="2">
      <c r="A2" s="89"/>
      <c r="B2" s="90"/>
      <c r="C2" s="91"/>
      <c r="K2" s="89"/>
    </row>
    <row r="3" ht="28.5" customHeight="1">
      <c r="A3" s="89"/>
      <c r="B3" s="92" t="s">
        <v>345</v>
      </c>
      <c r="C3" s="37"/>
      <c r="D3" s="37"/>
      <c r="E3" s="37"/>
      <c r="F3" s="37"/>
      <c r="G3" s="37"/>
      <c r="H3" s="37"/>
      <c r="I3" s="37"/>
      <c r="J3" s="6"/>
      <c r="K3" s="89"/>
    </row>
    <row r="4" ht="19.5" customHeight="1">
      <c r="A4" s="89"/>
      <c r="B4" s="97" t="s">
        <v>352</v>
      </c>
      <c r="C4" s="37"/>
      <c r="D4" s="37"/>
      <c r="E4" s="37"/>
      <c r="F4" s="37"/>
      <c r="G4" s="37"/>
      <c r="H4" s="37"/>
      <c r="I4" s="37"/>
      <c r="J4" s="6"/>
      <c r="K4" s="89"/>
    </row>
    <row r="5" ht="15.75" customHeight="1">
      <c r="A5" s="89"/>
      <c r="B5" s="101"/>
      <c r="K5" s="89"/>
    </row>
    <row r="6">
      <c r="A6" s="89"/>
      <c r="B6" s="103" t="str">
        <f>HYPERLINK("https://docs.google.com/spreadsheets/d/1xUe-NUahqo_JugC5LH5svDv46GNFziCUu9ebYzCdD-o/edit","Items List")</f>
        <v>Items List</v>
      </c>
      <c r="C6" s="7"/>
      <c r="D6" s="7"/>
      <c r="E6" s="7"/>
      <c r="F6" s="7"/>
      <c r="G6" s="7"/>
      <c r="H6" s="7"/>
      <c r="I6" s="7"/>
      <c r="J6" s="7"/>
      <c r="K6" s="89"/>
    </row>
    <row r="7" ht="9.0" customHeight="1">
      <c r="A7" s="89"/>
      <c r="B7" s="106"/>
      <c r="K7" s="89"/>
    </row>
    <row r="8">
      <c r="A8" s="89"/>
      <c r="B8" s="110" t="s">
        <v>391</v>
      </c>
      <c r="C8" s="7"/>
      <c r="D8" s="7"/>
      <c r="E8" s="7"/>
      <c r="F8" s="7"/>
      <c r="G8" s="7"/>
      <c r="H8" s="7"/>
      <c r="I8" s="7"/>
      <c r="J8" s="7"/>
      <c r="K8" s="89"/>
    </row>
    <row r="9" ht="16.5" customHeight="1">
      <c r="A9" s="89"/>
      <c r="B9" s="114" t="s">
        <v>403</v>
      </c>
      <c r="J9" s="9"/>
      <c r="K9" s="89"/>
    </row>
    <row r="10" ht="16.5" customHeight="1">
      <c r="A10" s="115"/>
      <c r="B10" s="117" t="s">
        <v>408</v>
      </c>
      <c r="C10" s="119" t="s">
        <v>411</v>
      </c>
      <c r="D10" s="119" t="s">
        <v>415</v>
      </c>
      <c r="E10" s="117" t="s">
        <v>421</v>
      </c>
      <c r="F10" s="122" t="s">
        <v>424</v>
      </c>
      <c r="G10" s="117" t="s">
        <v>427</v>
      </c>
      <c r="H10" s="117" t="s">
        <v>431</v>
      </c>
      <c r="I10" s="119" t="s">
        <v>436</v>
      </c>
      <c r="J10" s="117" t="s">
        <v>444</v>
      </c>
      <c r="K10" s="131"/>
    </row>
    <row r="11" ht="27.75" customHeight="1">
      <c r="A11" s="89"/>
      <c r="B11" s="135" t="s">
        <v>449</v>
      </c>
      <c r="K11" s="89"/>
    </row>
    <row r="12" ht="20.25" customHeight="1">
      <c r="A12" s="139"/>
      <c r="B12" s="144" t="str">
        <f>HYPERLINK("https://docs.google.com/document/d/1uQf6GU1UkaTNPJjXjIe0jaj30t0HbgGVgMoMT2CR6T4/edit?usp=sharing","How to Play")</f>
        <v>How to Play</v>
      </c>
      <c r="C12" s="37"/>
      <c r="D12" s="37"/>
      <c r="E12" s="37"/>
      <c r="F12" s="37"/>
      <c r="G12" s="37"/>
      <c r="H12" s="37"/>
      <c r="I12" s="37"/>
      <c r="J12" s="6"/>
      <c r="K12" s="23"/>
    </row>
    <row r="13" ht="8.25" customHeight="1">
      <c r="A13" s="23"/>
      <c r="B13" s="106"/>
      <c r="K13" s="23"/>
    </row>
    <row r="14">
      <c r="A14" s="89"/>
      <c r="B14" s="151" t="s">
        <v>227</v>
      </c>
      <c r="C14" s="37"/>
      <c r="D14" s="37"/>
      <c r="E14" s="37"/>
      <c r="F14" s="37"/>
      <c r="G14" s="37"/>
      <c r="H14" s="37"/>
      <c r="I14" s="37"/>
      <c r="J14" s="6"/>
      <c r="K14" s="87"/>
    </row>
    <row r="15" ht="9.0" customHeight="1">
      <c r="A15" s="89"/>
      <c r="B15" s="106"/>
      <c r="K15" s="89"/>
    </row>
    <row r="16">
      <c r="A16" s="89"/>
      <c r="B16" s="157" t="str">
        <f>HYPERLINK("https://docs.google.com/document/d/136sFrYkoo8cmcQljwF72LC30ywWgwXecfEhQcigRMH0/edit","Changelog")</f>
        <v>Changelog</v>
      </c>
      <c r="C16" s="37"/>
      <c r="D16" s="37"/>
      <c r="E16" s="37"/>
      <c r="F16" s="37"/>
      <c r="G16" s="37"/>
      <c r="H16" s="37"/>
      <c r="I16" s="37"/>
      <c r="J16" s="6"/>
      <c r="K16" s="89"/>
    </row>
    <row r="17" ht="9.0" customHeight="1">
      <c r="A17" s="89"/>
      <c r="B17" s="106"/>
      <c r="K17" s="89"/>
    </row>
    <row r="18">
      <c r="A18" s="89"/>
      <c r="B18" s="151" t="s">
        <v>184</v>
      </c>
      <c r="C18" s="37"/>
      <c r="D18" s="37"/>
      <c r="E18" s="37"/>
      <c r="F18" s="37"/>
      <c r="G18" s="37"/>
      <c r="H18" s="37"/>
      <c r="I18" s="37"/>
      <c r="J18" s="6"/>
      <c r="K18" s="89"/>
    </row>
    <row r="19">
      <c r="A19" s="172" t="s">
        <v>511</v>
      </c>
      <c r="B19" s="37"/>
      <c r="C19" s="37"/>
      <c r="D19" s="37"/>
      <c r="E19" s="37"/>
      <c r="F19" s="37"/>
      <c r="G19" s="37"/>
      <c r="H19" s="37"/>
      <c r="I19" s="37"/>
      <c r="J19" s="37"/>
      <c r="K19" s="37"/>
    </row>
  </sheetData>
  <mergeCells count="18">
    <mergeCell ref="B1:J1"/>
    <mergeCell ref="C2:J2"/>
    <mergeCell ref="B3:J3"/>
    <mergeCell ref="B4:J4"/>
    <mergeCell ref="B5:J5"/>
    <mergeCell ref="B6:J6"/>
    <mergeCell ref="B7:J7"/>
    <mergeCell ref="B16:J16"/>
    <mergeCell ref="B17:J17"/>
    <mergeCell ref="B18:J18"/>
    <mergeCell ref="A19:K19"/>
    <mergeCell ref="B8:J8"/>
    <mergeCell ref="B9:J9"/>
    <mergeCell ref="B11:J11"/>
    <mergeCell ref="B12:J12"/>
    <mergeCell ref="B13:J13"/>
    <mergeCell ref="B14:J14"/>
    <mergeCell ref="B15:J15"/>
  </mergeCells>
  <hyperlinks>
    <hyperlink r:id="rId1" ref="B4"/>
    <hyperlink display="Class Abilities" location="Classes!A1" ref="B8"/>
    <hyperlink display="Archer" location="Archer!A1" ref="B10"/>
    <hyperlink display="Celestial" location="Celestial!A1" ref="C10"/>
    <hyperlink display="Clairvoyant" location="Clairvoyant!A1" ref="D10"/>
    <hyperlink display="Dark" location="Dark!A1" ref="E10"/>
    <hyperlink display="Dueler" location="Dueler!A1" ref="F10"/>
    <hyperlink display="Fighter" location="Fighter!A1" ref="G10"/>
    <hyperlink display="Heavy" location="Heavy!A1" ref="H10"/>
    <hyperlink display="Regal" location="Regal!A1" ref="I10"/>
    <hyperlink display="Sorcerer" location="Sorcerer!A1" ref="J10"/>
    <hyperlink r:id="rId2" ref="B14"/>
    <hyperlink r:id="rId3" location="gid=0" ref="B18"/>
    <hyperlink r:id="rId4" ref="A19"/>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
    <col customWidth="1" min="2" max="2" width="13.88"/>
    <col customWidth="1" min="3" max="3" width="76.0"/>
    <col customWidth="1" min="4" max="5" width="11.75"/>
    <col customWidth="1" min="7" max="7" width="1.5"/>
  </cols>
  <sheetData>
    <row r="1" ht="11.25" customHeight="1">
      <c r="A1" s="93"/>
      <c r="B1" s="93"/>
      <c r="C1" s="93"/>
      <c r="D1" s="93"/>
      <c r="E1" s="93"/>
      <c r="F1" s="93"/>
      <c r="G1" s="93"/>
    </row>
    <row r="2">
      <c r="A2" s="93"/>
      <c r="B2" s="94" t="s">
        <v>357</v>
      </c>
      <c r="C2" s="37"/>
      <c r="D2" s="37"/>
      <c r="E2" s="37"/>
      <c r="F2" s="6"/>
      <c r="G2" s="93"/>
    </row>
    <row r="3">
      <c r="A3" s="95"/>
      <c r="B3" s="96" t="s">
        <v>368</v>
      </c>
      <c r="C3" s="37"/>
      <c r="D3" s="37"/>
      <c r="E3" s="37"/>
      <c r="F3" s="6"/>
      <c r="G3" s="95"/>
    </row>
    <row r="4">
      <c r="A4" s="98"/>
      <c r="B4" s="99" t="s">
        <v>374</v>
      </c>
      <c r="C4" s="99" t="s">
        <v>376</v>
      </c>
      <c r="D4" s="99" t="s">
        <v>377</v>
      </c>
      <c r="E4" s="99" t="s">
        <v>378</v>
      </c>
      <c r="F4" s="99" t="s">
        <v>380</v>
      </c>
      <c r="G4" s="98"/>
    </row>
    <row r="5">
      <c r="A5" s="100"/>
      <c r="B5" s="102">
        <v>44818.0</v>
      </c>
      <c r="C5" s="104" t="s">
        <v>382</v>
      </c>
      <c r="D5" s="105" t="s">
        <v>387</v>
      </c>
      <c r="E5" s="107" t="s">
        <v>387</v>
      </c>
      <c r="F5" s="108" t="s">
        <v>389</v>
      </c>
      <c r="G5" s="100"/>
    </row>
    <row r="6">
      <c r="A6" s="100"/>
      <c r="B6" s="102">
        <v>44973.0</v>
      </c>
      <c r="C6" s="104" t="s">
        <v>392</v>
      </c>
      <c r="D6" s="105" t="s">
        <v>398</v>
      </c>
      <c r="E6" s="105" t="s">
        <v>399</v>
      </c>
      <c r="F6" s="112">
        <v>44975.0</v>
      </c>
      <c r="G6" s="100"/>
    </row>
    <row r="7">
      <c r="A7" s="100"/>
      <c r="B7" s="102">
        <v>45076.0</v>
      </c>
      <c r="C7" s="104" t="s">
        <v>404</v>
      </c>
      <c r="D7" s="105" t="s">
        <v>414</v>
      </c>
      <c r="E7" s="105" t="s">
        <v>399</v>
      </c>
      <c r="F7" s="112">
        <v>45076.0</v>
      </c>
      <c r="G7" s="100"/>
    </row>
    <row r="8">
      <c r="A8" s="100"/>
      <c r="B8" s="102">
        <v>45187.0</v>
      </c>
      <c r="C8" s="104" t="s">
        <v>420</v>
      </c>
      <c r="D8" s="105" t="s">
        <v>430</v>
      </c>
      <c r="E8" s="105" t="s">
        <v>432</v>
      </c>
      <c r="F8" s="112">
        <v>45187.0</v>
      </c>
      <c r="G8" s="100"/>
    </row>
    <row r="9">
      <c r="A9" s="100"/>
      <c r="B9" s="126">
        <v>45259.0</v>
      </c>
      <c r="C9" s="104" t="s">
        <v>438</v>
      </c>
      <c r="D9" s="105" t="s">
        <v>452</v>
      </c>
      <c r="E9" s="105" t="s">
        <v>452</v>
      </c>
      <c r="F9" s="141" t="s">
        <v>453</v>
      </c>
      <c r="G9" s="100"/>
    </row>
    <row r="10">
      <c r="A10" s="100"/>
      <c r="B10" s="102">
        <v>45421.0</v>
      </c>
      <c r="C10" s="146" t="s">
        <v>457</v>
      </c>
      <c r="D10" s="105" t="s">
        <v>467</v>
      </c>
      <c r="E10" s="105" t="s">
        <v>467</v>
      </c>
      <c r="F10" s="141" t="s">
        <v>468</v>
      </c>
      <c r="G10" s="100"/>
    </row>
    <row r="11">
      <c r="A11" s="100"/>
      <c r="B11" s="102">
        <v>45446.0</v>
      </c>
      <c r="C11" s="104" t="s">
        <v>470</v>
      </c>
      <c r="D11" s="105" t="s">
        <v>387</v>
      </c>
      <c r="E11" s="105" t="s">
        <v>452</v>
      </c>
      <c r="F11" s="141" t="s">
        <v>480</v>
      </c>
      <c r="G11" s="100"/>
    </row>
    <row r="12">
      <c r="A12" s="100"/>
      <c r="B12" s="102">
        <v>45446.0</v>
      </c>
      <c r="C12" s="104" t="s">
        <v>481</v>
      </c>
      <c r="D12" s="105" t="s">
        <v>498</v>
      </c>
      <c r="E12" s="105" t="s">
        <v>467</v>
      </c>
      <c r="F12" s="141" t="s">
        <v>499</v>
      </c>
      <c r="G12" s="100"/>
    </row>
    <row r="13">
      <c r="A13" s="100"/>
      <c r="B13" s="102">
        <v>45457.0</v>
      </c>
      <c r="C13" s="104" t="s">
        <v>502</v>
      </c>
      <c r="D13" s="105" t="s">
        <v>517</v>
      </c>
      <c r="E13" s="105" t="s">
        <v>467</v>
      </c>
      <c r="F13" s="141" t="s">
        <v>520</v>
      </c>
      <c r="G13" s="100"/>
    </row>
    <row r="14">
      <c r="A14" s="100"/>
      <c r="B14" s="102">
        <v>45525.0</v>
      </c>
      <c r="C14" s="104" t="s">
        <v>521</v>
      </c>
      <c r="D14" s="105" t="s">
        <v>529</v>
      </c>
      <c r="E14" s="105" t="s">
        <v>530</v>
      </c>
      <c r="F14" s="141" t="s">
        <v>531</v>
      </c>
      <c r="G14" s="100"/>
    </row>
    <row r="15">
      <c r="A15" s="100"/>
      <c r="B15" s="102">
        <v>45537.0</v>
      </c>
      <c r="C15" s="104" t="s">
        <v>532</v>
      </c>
      <c r="D15" s="105" t="s">
        <v>538</v>
      </c>
      <c r="E15" s="105" t="s">
        <v>538</v>
      </c>
      <c r="F15" s="112">
        <v>45537.0</v>
      </c>
      <c r="G15" s="100"/>
    </row>
    <row r="16">
      <c r="A16" s="100"/>
      <c r="B16" s="183"/>
      <c r="C16" s="184"/>
      <c r="D16" s="184"/>
      <c r="E16" s="184"/>
      <c r="F16" s="185"/>
      <c r="G16" s="100"/>
    </row>
    <row r="17" ht="10.5" customHeight="1">
      <c r="A17" s="93"/>
      <c r="B17" s="93"/>
      <c r="C17" s="186" t="s">
        <v>547</v>
      </c>
      <c r="D17" s="93"/>
      <c r="E17" s="93"/>
      <c r="F17" s="93" t="s">
        <v>551</v>
      </c>
      <c r="G17" s="93" t="s">
        <v>553</v>
      </c>
    </row>
  </sheetData>
  <mergeCells count="2">
    <mergeCell ref="B2:F2"/>
    <mergeCell ref="B3:F3"/>
  </mergeCells>
  <hyperlinks>
    <hyperlink r:id="rId2" ref="C5"/>
    <hyperlink r:id="rId3" location="gid=1361592964" ref="C6"/>
    <hyperlink r:id="rId4" location="gid=1027186999" ref="C7"/>
    <hyperlink r:id="rId5" ref="C8"/>
    <hyperlink r:id="rId6" ref="C9"/>
    <hyperlink r:id="rId7" location="gid=208613932" ref="C10"/>
    <hyperlink r:id="rId8" ref="C11"/>
    <hyperlink r:id="rId9" location="gid=2131739028" ref="C12"/>
    <hyperlink r:id="rId10" location="gid=202860722" ref="C13"/>
    <hyperlink r:id="rId11" ref="C14"/>
    <hyperlink r:id="rId12" ref="C15"/>
    <hyperlink r:id="rId13" ref="C17"/>
  </hyperlinks>
  <drawing r:id="rId14"/>
  <legacyDrawing r:id="rId1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0" max="10" width="12.63"/>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21" t="s">
        <v>425</v>
      </c>
      <c r="B3" s="37"/>
      <c r="C3" s="37"/>
      <c r="D3" s="37"/>
      <c r="E3" s="37"/>
      <c r="F3" s="37"/>
      <c r="G3" s="37"/>
      <c r="H3" s="37"/>
      <c r="I3" s="37"/>
      <c r="J3" s="37"/>
      <c r="K3" s="37"/>
    </row>
    <row r="4">
      <c r="A4" s="124" t="s">
        <v>428</v>
      </c>
      <c r="B4" s="125" t="s">
        <v>433</v>
      </c>
      <c r="C4" s="124" t="s">
        <v>435</v>
      </c>
      <c r="D4" s="127">
        <v>2.0</v>
      </c>
      <c r="E4" s="124" t="s">
        <v>439</v>
      </c>
      <c r="F4" s="124" t="s">
        <v>440</v>
      </c>
      <c r="G4" s="124" t="s">
        <v>441</v>
      </c>
      <c r="H4" s="128">
        <v>1.0</v>
      </c>
      <c r="I4" s="124" t="s">
        <v>443</v>
      </c>
      <c r="J4" s="129" t="s">
        <v>445</v>
      </c>
      <c r="K4" s="130" t="s">
        <v>447</v>
      </c>
    </row>
    <row r="5">
      <c r="A5" s="132" t="s">
        <v>259</v>
      </c>
      <c r="B5" s="133" t="s">
        <v>433</v>
      </c>
      <c r="C5" s="132" t="s">
        <v>435</v>
      </c>
      <c r="D5" s="134" t="s">
        <v>10</v>
      </c>
      <c r="E5" s="132" t="s">
        <v>10</v>
      </c>
      <c r="F5" s="136" t="s">
        <v>10</v>
      </c>
      <c r="G5" s="137" t="s">
        <v>450</v>
      </c>
      <c r="H5" s="138" t="s">
        <v>10</v>
      </c>
      <c r="I5" s="132" t="s">
        <v>451</v>
      </c>
      <c r="J5" s="140" t="s">
        <v>10</v>
      </c>
      <c r="K5" s="136" t="s">
        <v>455</v>
      </c>
    </row>
    <row r="6">
      <c r="A6" s="130" t="s">
        <v>210</v>
      </c>
      <c r="B6" s="125" t="s">
        <v>433</v>
      </c>
      <c r="C6" s="130" t="s">
        <v>435</v>
      </c>
      <c r="D6" s="127" t="s">
        <v>10</v>
      </c>
      <c r="E6" s="124" t="s">
        <v>10</v>
      </c>
      <c r="F6" s="130" t="s">
        <v>10</v>
      </c>
      <c r="G6" s="124" t="s">
        <v>456</v>
      </c>
      <c r="H6" s="142" t="s">
        <v>10</v>
      </c>
      <c r="I6" s="124" t="s">
        <v>451</v>
      </c>
      <c r="J6" s="143" t="s">
        <v>10</v>
      </c>
      <c r="K6" s="130" t="s">
        <v>459</v>
      </c>
    </row>
    <row r="7">
      <c r="A7" s="132" t="s">
        <v>460</v>
      </c>
      <c r="B7" s="133" t="s">
        <v>433</v>
      </c>
      <c r="C7" s="132" t="s">
        <v>435</v>
      </c>
      <c r="D7" s="133">
        <v>2.0</v>
      </c>
      <c r="E7" s="136" t="s">
        <v>439</v>
      </c>
      <c r="F7" s="132" t="s">
        <v>440</v>
      </c>
      <c r="G7" s="136" t="s">
        <v>462</v>
      </c>
      <c r="H7" s="138">
        <v>1.0</v>
      </c>
      <c r="I7" s="132" t="s">
        <v>443</v>
      </c>
      <c r="J7" s="145" t="s">
        <v>445</v>
      </c>
      <c r="K7" s="136" t="s">
        <v>463</v>
      </c>
    </row>
    <row r="8">
      <c r="A8" s="121" t="s">
        <v>391</v>
      </c>
      <c r="B8" s="37"/>
      <c r="C8" s="37"/>
      <c r="D8" s="37"/>
      <c r="E8" s="37"/>
      <c r="F8" s="37"/>
      <c r="G8" s="37"/>
      <c r="H8" s="37"/>
      <c r="I8" s="37"/>
      <c r="J8" s="37"/>
      <c r="K8" s="37"/>
    </row>
    <row r="9">
      <c r="A9" s="147"/>
    </row>
    <row r="10">
      <c r="A10" s="148" t="s">
        <v>146</v>
      </c>
      <c r="B10" s="149"/>
      <c r="C10" s="149"/>
      <c r="D10" s="149"/>
      <c r="E10" s="149"/>
      <c r="F10" s="149"/>
      <c r="G10" s="149"/>
      <c r="H10" s="149"/>
      <c r="I10" s="149"/>
      <c r="J10" s="149"/>
      <c r="K10" s="149"/>
    </row>
    <row r="11">
      <c r="A11" s="150" t="s">
        <v>471</v>
      </c>
      <c r="B11" s="7"/>
      <c r="C11" s="7"/>
      <c r="D11" s="7"/>
      <c r="E11" s="7"/>
      <c r="F11" s="7"/>
      <c r="G11" s="152" t="s">
        <v>474</v>
      </c>
      <c r="H11" s="7"/>
      <c r="I11" s="7"/>
      <c r="J11" s="7"/>
      <c r="K11" s="7"/>
    </row>
    <row r="12">
      <c r="A12" s="153" t="s">
        <v>204</v>
      </c>
      <c r="B12" s="154">
        <v>1.0</v>
      </c>
      <c r="C12" s="156" t="s">
        <v>479</v>
      </c>
      <c r="D12" s="154" t="s">
        <v>10</v>
      </c>
      <c r="E12" s="156" t="s">
        <v>10</v>
      </c>
      <c r="F12" s="153" t="s">
        <v>10</v>
      </c>
      <c r="G12" s="153" t="s">
        <v>479</v>
      </c>
      <c r="H12" s="158" t="s">
        <v>483</v>
      </c>
      <c r="I12" s="153" t="s">
        <v>484</v>
      </c>
      <c r="J12" s="159" t="s">
        <v>485</v>
      </c>
      <c r="K12" s="160" t="s">
        <v>487</v>
      </c>
    </row>
    <row r="13">
      <c r="A13" s="161" t="s">
        <v>489</v>
      </c>
      <c r="B13" s="162">
        <v>3.0</v>
      </c>
      <c r="C13" s="163" t="s">
        <v>491</v>
      </c>
      <c r="D13" s="164" t="s">
        <v>10</v>
      </c>
      <c r="E13" s="161" t="s">
        <v>10</v>
      </c>
      <c r="F13" s="163" t="s">
        <v>10</v>
      </c>
      <c r="G13" s="163" t="s">
        <v>492</v>
      </c>
      <c r="H13" s="165">
        <v>1.0</v>
      </c>
      <c r="I13" s="163" t="s">
        <v>493</v>
      </c>
      <c r="J13" s="166" t="s">
        <v>494</v>
      </c>
      <c r="K13" s="163" t="s">
        <v>495</v>
      </c>
    </row>
    <row r="14">
      <c r="A14" s="156" t="s">
        <v>496</v>
      </c>
      <c r="B14" s="167">
        <v>5.0</v>
      </c>
      <c r="C14" s="156" t="s">
        <v>435</v>
      </c>
      <c r="D14" s="154" t="s">
        <v>10</v>
      </c>
      <c r="E14" s="153" t="s">
        <v>10</v>
      </c>
      <c r="F14" s="153" t="s">
        <v>10</v>
      </c>
      <c r="G14" s="153" t="s">
        <v>501</v>
      </c>
      <c r="H14" s="158" t="s">
        <v>10</v>
      </c>
      <c r="I14" s="153" t="s">
        <v>451</v>
      </c>
      <c r="J14" s="159" t="s">
        <v>10</v>
      </c>
      <c r="K14" s="153" t="s">
        <v>504</v>
      </c>
    </row>
    <row r="15">
      <c r="A15" s="163" t="s">
        <v>505</v>
      </c>
      <c r="B15" s="162">
        <v>7.0</v>
      </c>
      <c r="C15" s="161" t="s">
        <v>506</v>
      </c>
      <c r="D15" s="164" t="s">
        <v>10</v>
      </c>
      <c r="E15" s="161" t="s">
        <v>10</v>
      </c>
      <c r="F15" s="163" t="s">
        <v>10</v>
      </c>
      <c r="G15" s="163" t="s">
        <v>507</v>
      </c>
      <c r="H15" s="169" t="s">
        <v>508</v>
      </c>
      <c r="I15" s="163" t="s">
        <v>509</v>
      </c>
      <c r="J15" s="170" t="s">
        <v>510</v>
      </c>
      <c r="K15" s="163" t="s">
        <v>512</v>
      </c>
    </row>
    <row r="16">
      <c r="A16" s="156" t="s">
        <v>151</v>
      </c>
      <c r="B16" s="167">
        <v>10.0</v>
      </c>
      <c r="C16" s="156" t="s">
        <v>506</v>
      </c>
      <c r="D16" s="154" t="s">
        <v>10</v>
      </c>
      <c r="E16" s="156" t="s">
        <v>10</v>
      </c>
      <c r="F16" s="153" t="s">
        <v>10</v>
      </c>
      <c r="G16" s="153" t="s">
        <v>492</v>
      </c>
      <c r="H16" s="158" t="s">
        <v>483</v>
      </c>
      <c r="I16" s="156" t="s">
        <v>484</v>
      </c>
      <c r="J16" s="159" t="s">
        <v>515</v>
      </c>
      <c r="K16" s="153" t="s">
        <v>516</v>
      </c>
    </row>
    <row r="17">
      <c r="A17" s="148" t="s">
        <v>518</v>
      </c>
      <c r="B17" s="149"/>
      <c r="C17" s="149"/>
      <c r="D17" s="149"/>
      <c r="E17" s="149"/>
      <c r="F17" s="149"/>
      <c r="G17" s="149"/>
      <c r="H17" s="149"/>
      <c r="I17" s="149"/>
      <c r="J17" s="149"/>
      <c r="K17" s="149"/>
    </row>
    <row r="18">
      <c r="A18" s="150" t="s">
        <v>524</v>
      </c>
      <c r="B18" s="7"/>
      <c r="C18" s="7"/>
      <c r="D18" s="7"/>
      <c r="E18" s="7"/>
      <c r="F18" s="7"/>
      <c r="G18" s="152" t="s">
        <v>526</v>
      </c>
      <c r="H18" s="7"/>
      <c r="I18" s="7"/>
      <c r="J18" s="7"/>
      <c r="K18" s="7"/>
    </row>
    <row r="19">
      <c r="A19" s="174" t="s">
        <v>288</v>
      </c>
      <c r="B19" s="175">
        <v>1.0</v>
      </c>
      <c r="C19" s="174" t="s">
        <v>479</v>
      </c>
      <c r="D19" s="175" t="s">
        <v>10</v>
      </c>
      <c r="E19" s="174" t="s">
        <v>10</v>
      </c>
      <c r="F19" s="174" t="s">
        <v>10</v>
      </c>
      <c r="G19" s="174" t="s">
        <v>479</v>
      </c>
      <c r="H19" s="177" t="s">
        <v>10</v>
      </c>
      <c r="I19" s="174" t="s">
        <v>10</v>
      </c>
      <c r="J19" s="178" t="s">
        <v>10</v>
      </c>
      <c r="K19" s="174" t="s">
        <v>534</v>
      </c>
    </row>
    <row r="20">
      <c r="A20" s="179" t="s">
        <v>535</v>
      </c>
      <c r="B20" s="180">
        <v>3.0</v>
      </c>
      <c r="C20" s="179" t="s">
        <v>536</v>
      </c>
      <c r="D20" s="180" t="s">
        <v>10</v>
      </c>
      <c r="E20" s="179" t="s">
        <v>10</v>
      </c>
      <c r="F20" s="179" t="s">
        <v>10</v>
      </c>
      <c r="G20" s="179" t="s">
        <v>507</v>
      </c>
      <c r="H20" s="181" t="s">
        <v>10</v>
      </c>
      <c r="I20" s="179" t="s">
        <v>451</v>
      </c>
      <c r="J20" s="182" t="s">
        <v>10</v>
      </c>
      <c r="K20" s="179" t="s">
        <v>537</v>
      </c>
    </row>
    <row r="21">
      <c r="A21" s="174" t="s">
        <v>539</v>
      </c>
      <c r="B21" s="175">
        <v>5.0</v>
      </c>
      <c r="C21" s="174" t="s">
        <v>536</v>
      </c>
      <c r="D21" s="175" t="s">
        <v>10</v>
      </c>
      <c r="E21" s="174" t="s">
        <v>540</v>
      </c>
      <c r="F21" s="174" t="s">
        <v>10</v>
      </c>
      <c r="G21" s="174" t="s">
        <v>492</v>
      </c>
      <c r="H21" s="177" t="s">
        <v>10</v>
      </c>
      <c r="I21" s="174" t="s">
        <v>451</v>
      </c>
      <c r="J21" s="178" t="s">
        <v>10</v>
      </c>
      <c r="K21" s="174" t="s">
        <v>541</v>
      </c>
    </row>
    <row r="22">
      <c r="A22" s="179" t="s">
        <v>542</v>
      </c>
      <c r="B22" s="180">
        <v>7.0</v>
      </c>
      <c r="C22" s="179" t="s">
        <v>506</v>
      </c>
      <c r="D22" s="180" t="s">
        <v>10</v>
      </c>
      <c r="E22" s="179" t="s">
        <v>10</v>
      </c>
      <c r="F22" s="179" t="s">
        <v>10</v>
      </c>
      <c r="G22" s="179" t="s">
        <v>543</v>
      </c>
      <c r="H22" s="181" t="s">
        <v>10</v>
      </c>
      <c r="I22" s="179" t="s">
        <v>10</v>
      </c>
      <c r="J22" s="182" t="s">
        <v>544</v>
      </c>
      <c r="K22" s="179" t="s">
        <v>545</v>
      </c>
    </row>
    <row r="23">
      <c r="A23" s="174" t="s">
        <v>546</v>
      </c>
      <c r="B23" s="175">
        <v>10.0</v>
      </c>
      <c r="C23" s="174" t="s">
        <v>506</v>
      </c>
      <c r="D23" s="175" t="s">
        <v>10</v>
      </c>
      <c r="E23" s="174" t="s">
        <v>10</v>
      </c>
      <c r="F23" s="174" t="s">
        <v>10</v>
      </c>
      <c r="G23" s="174" t="s">
        <v>462</v>
      </c>
      <c r="H23" s="177" t="s">
        <v>10</v>
      </c>
      <c r="I23" s="174" t="s">
        <v>10</v>
      </c>
      <c r="J23" s="178" t="s">
        <v>510</v>
      </c>
      <c r="K23" s="174" t="s">
        <v>548</v>
      </c>
    </row>
    <row r="24">
      <c r="A24" s="148" t="s">
        <v>154</v>
      </c>
      <c r="B24" s="149"/>
      <c r="C24" s="149"/>
      <c r="D24" s="149"/>
      <c r="E24" s="149"/>
      <c r="F24" s="149"/>
      <c r="G24" s="149"/>
      <c r="H24" s="149"/>
      <c r="I24" s="149"/>
      <c r="J24" s="149"/>
      <c r="K24" s="149"/>
    </row>
    <row r="25">
      <c r="A25" s="150" t="s">
        <v>549</v>
      </c>
      <c r="B25" s="7"/>
      <c r="C25" s="7"/>
      <c r="D25" s="7"/>
      <c r="E25" s="7"/>
      <c r="F25" s="7"/>
      <c r="G25" s="152" t="s">
        <v>550</v>
      </c>
      <c r="H25" s="7"/>
      <c r="I25" s="7"/>
      <c r="J25" s="7"/>
      <c r="K25" s="7"/>
    </row>
    <row r="26">
      <c r="A26" s="188" t="s">
        <v>552</v>
      </c>
      <c r="B26" s="189">
        <v>1.0</v>
      </c>
      <c r="C26" s="188" t="s">
        <v>479</v>
      </c>
      <c r="D26" s="189" t="s">
        <v>10</v>
      </c>
      <c r="E26" s="188" t="s">
        <v>10</v>
      </c>
      <c r="F26" s="188" t="s">
        <v>10</v>
      </c>
      <c r="G26" s="188" t="s">
        <v>479</v>
      </c>
      <c r="H26" s="190" t="s">
        <v>10</v>
      </c>
      <c r="I26" s="188" t="s">
        <v>10</v>
      </c>
      <c r="J26" s="191" t="s">
        <v>10</v>
      </c>
      <c r="K26" s="188" t="s">
        <v>554</v>
      </c>
    </row>
    <row r="27">
      <c r="A27" s="192" t="s">
        <v>555</v>
      </c>
      <c r="B27" s="193">
        <v>3.0</v>
      </c>
      <c r="C27" s="192" t="s">
        <v>556</v>
      </c>
      <c r="D27" s="193" t="s">
        <v>10</v>
      </c>
      <c r="E27" s="192" t="s">
        <v>10</v>
      </c>
      <c r="F27" s="192" t="s">
        <v>10</v>
      </c>
      <c r="G27" s="192" t="s">
        <v>462</v>
      </c>
      <c r="H27" s="194">
        <v>1.0</v>
      </c>
      <c r="I27" s="192" t="s">
        <v>557</v>
      </c>
      <c r="J27" s="195" t="s">
        <v>558</v>
      </c>
      <c r="K27" s="196" t="s">
        <v>560</v>
      </c>
    </row>
    <row r="28">
      <c r="A28" s="197" t="s">
        <v>561</v>
      </c>
      <c r="B28" s="198">
        <v>5.0</v>
      </c>
      <c r="C28" s="197" t="s">
        <v>506</v>
      </c>
      <c r="D28" s="198" t="s">
        <v>10</v>
      </c>
      <c r="E28" s="197" t="s">
        <v>10</v>
      </c>
      <c r="F28" s="197" t="s">
        <v>10</v>
      </c>
      <c r="G28" s="197" t="s">
        <v>492</v>
      </c>
      <c r="H28" s="190">
        <v>1.0</v>
      </c>
      <c r="I28" s="188" t="s">
        <v>493</v>
      </c>
      <c r="J28" s="191" t="s">
        <v>558</v>
      </c>
      <c r="K28" s="188" t="s">
        <v>562</v>
      </c>
    </row>
    <row r="29">
      <c r="A29" s="192" t="s">
        <v>563</v>
      </c>
      <c r="B29" s="193">
        <v>7.0</v>
      </c>
      <c r="C29" s="192" t="s">
        <v>564</v>
      </c>
      <c r="D29" s="193" t="s">
        <v>10</v>
      </c>
      <c r="E29" s="192" t="s">
        <v>10</v>
      </c>
      <c r="F29" s="192" t="s">
        <v>10</v>
      </c>
      <c r="G29" s="192" t="s">
        <v>565</v>
      </c>
      <c r="H29" s="199">
        <v>1.0</v>
      </c>
      <c r="I29" s="196" t="s">
        <v>493</v>
      </c>
      <c r="J29" s="195" t="s">
        <v>558</v>
      </c>
      <c r="K29" s="196" t="s">
        <v>566</v>
      </c>
    </row>
    <row r="30">
      <c r="A30" s="197" t="s">
        <v>324</v>
      </c>
      <c r="B30" s="198">
        <v>10.0</v>
      </c>
      <c r="C30" s="197" t="s">
        <v>506</v>
      </c>
      <c r="D30" s="198" t="s">
        <v>10</v>
      </c>
      <c r="E30" s="197" t="s">
        <v>10</v>
      </c>
      <c r="F30" s="197" t="s">
        <v>10</v>
      </c>
      <c r="G30" s="197" t="s">
        <v>492</v>
      </c>
      <c r="H30" s="190" t="s">
        <v>10</v>
      </c>
      <c r="I30" s="197" t="s">
        <v>451</v>
      </c>
      <c r="J30" s="200" t="s">
        <v>10</v>
      </c>
      <c r="K30" s="188" t="s">
        <v>567</v>
      </c>
    </row>
    <row r="31">
      <c r="A31" s="148" t="s">
        <v>21</v>
      </c>
      <c r="B31" s="149"/>
      <c r="C31" s="149"/>
      <c r="D31" s="149"/>
      <c r="E31" s="149"/>
      <c r="F31" s="149"/>
      <c r="G31" s="149"/>
      <c r="H31" s="149"/>
      <c r="I31" s="149"/>
      <c r="J31" s="149"/>
      <c r="K31" s="149"/>
    </row>
    <row r="32">
      <c r="A32" s="150" t="s">
        <v>568</v>
      </c>
      <c r="B32" s="7"/>
      <c r="C32" s="7"/>
      <c r="D32" s="7"/>
      <c r="E32" s="7"/>
      <c r="F32" s="7"/>
      <c r="G32" s="152" t="s">
        <v>569</v>
      </c>
      <c r="H32" s="7"/>
      <c r="I32" s="7"/>
      <c r="J32" s="7"/>
      <c r="K32" s="7"/>
    </row>
    <row r="33">
      <c r="A33" s="202" t="s">
        <v>570</v>
      </c>
      <c r="B33" s="203">
        <v>1.0</v>
      </c>
      <c r="C33" s="202" t="s">
        <v>479</v>
      </c>
      <c r="D33" s="203" t="s">
        <v>10</v>
      </c>
      <c r="E33" s="202" t="s">
        <v>10</v>
      </c>
      <c r="F33" s="204" t="s">
        <v>10</v>
      </c>
      <c r="G33" s="204" t="s">
        <v>479</v>
      </c>
      <c r="H33" s="205" t="s">
        <v>10</v>
      </c>
      <c r="I33" s="202" t="s">
        <v>10</v>
      </c>
      <c r="J33" s="206" t="s">
        <v>10</v>
      </c>
      <c r="K33" s="204" t="s">
        <v>571</v>
      </c>
    </row>
    <row r="34">
      <c r="A34" s="207" t="s">
        <v>308</v>
      </c>
      <c r="B34" s="208">
        <v>3.0</v>
      </c>
      <c r="C34" s="207" t="s">
        <v>572</v>
      </c>
      <c r="D34" s="208" t="s">
        <v>10</v>
      </c>
      <c r="E34" s="207" t="s">
        <v>10</v>
      </c>
      <c r="F34" s="207" t="s">
        <v>10</v>
      </c>
      <c r="G34" s="207" t="s">
        <v>507</v>
      </c>
      <c r="H34" s="209" t="s">
        <v>10</v>
      </c>
      <c r="I34" s="207" t="s">
        <v>451</v>
      </c>
      <c r="J34" s="210" t="s">
        <v>10</v>
      </c>
      <c r="K34" s="207" t="s">
        <v>573</v>
      </c>
    </row>
    <row r="35">
      <c r="A35" s="204" t="s">
        <v>228</v>
      </c>
      <c r="B35" s="211">
        <v>5.0</v>
      </c>
      <c r="C35" s="204" t="s">
        <v>536</v>
      </c>
      <c r="D35" s="211">
        <v>2.0</v>
      </c>
      <c r="E35" s="204" t="s">
        <v>574</v>
      </c>
      <c r="F35" s="204" t="s">
        <v>575</v>
      </c>
      <c r="G35" s="204" t="s">
        <v>456</v>
      </c>
      <c r="H35" s="212">
        <v>2.0</v>
      </c>
      <c r="I35" s="204" t="s">
        <v>576</v>
      </c>
      <c r="J35" s="213" t="s">
        <v>445</v>
      </c>
      <c r="K35" s="204" t="s">
        <v>577</v>
      </c>
    </row>
    <row r="36">
      <c r="A36" s="207" t="s">
        <v>578</v>
      </c>
      <c r="B36" s="208">
        <v>7.0</v>
      </c>
      <c r="C36" s="207" t="s">
        <v>506</v>
      </c>
      <c r="D36" s="214" t="s">
        <v>10</v>
      </c>
      <c r="E36" s="215" t="s">
        <v>10</v>
      </c>
      <c r="F36" s="207" t="s">
        <v>10</v>
      </c>
      <c r="G36" s="207" t="s">
        <v>507</v>
      </c>
      <c r="H36" s="209" t="s">
        <v>10</v>
      </c>
      <c r="I36" s="215" t="s">
        <v>451</v>
      </c>
      <c r="J36" s="210" t="s">
        <v>10</v>
      </c>
      <c r="K36" s="207" t="s">
        <v>579</v>
      </c>
    </row>
    <row r="37">
      <c r="A37" s="202" t="s">
        <v>580</v>
      </c>
      <c r="B37" s="211">
        <v>10.0</v>
      </c>
      <c r="C37" s="202" t="s">
        <v>506</v>
      </c>
      <c r="D37" s="203" t="s">
        <v>10</v>
      </c>
      <c r="E37" s="202" t="s">
        <v>10</v>
      </c>
      <c r="F37" s="204" t="s">
        <v>10</v>
      </c>
      <c r="G37" s="202" t="s">
        <v>507</v>
      </c>
      <c r="H37" s="212" t="s">
        <v>10</v>
      </c>
      <c r="I37" s="202" t="s">
        <v>451</v>
      </c>
      <c r="J37" s="206" t="s">
        <v>10</v>
      </c>
      <c r="K37" s="204" t="s">
        <v>581</v>
      </c>
    </row>
    <row r="38">
      <c r="A38" s="148" t="s">
        <v>28</v>
      </c>
      <c r="B38" s="149"/>
      <c r="C38" s="149"/>
      <c r="D38" s="149"/>
      <c r="E38" s="149"/>
      <c r="F38" s="149"/>
      <c r="G38" s="149"/>
      <c r="H38" s="149"/>
      <c r="I38" s="149"/>
      <c r="J38" s="149"/>
      <c r="K38" s="149"/>
    </row>
    <row r="39">
      <c r="A39" s="150" t="s">
        <v>582</v>
      </c>
      <c r="B39" s="7"/>
      <c r="C39" s="7"/>
      <c r="D39" s="7"/>
      <c r="E39" s="7"/>
      <c r="F39" s="7"/>
      <c r="G39" s="152" t="s">
        <v>583</v>
      </c>
      <c r="H39" s="7"/>
      <c r="I39" s="7"/>
      <c r="J39" s="7"/>
      <c r="K39" s="7"/>
    </row>
    <row r="40">
      <c r="A40" s="217" t="s">
        <v>584</v>
      </c>
      <c r="B40" s="218">
        <v>1.0</v>
      </c>
      <c r="C40" s="217" t="s">
        <v>479</v>
      </c>
      <c r="D40" s="218" t="s">
        <v>10</v>
      </c>
      <c r="E40" s="219" t="s">
        <v>10</v>
      </c>
      <c r="F40" s="217" t="s">
        <v>10</v>
      </c>
      <c r="G40" s="217" t="s">
        <v>479</v>
      </c>
      <c r="H40" s="220" t="s">
        <v>483</v>
      </c>
      <c r="I40" s="217" t="s">
        <v>484</v>
      </c>
      <c r="J40" s="221" t="s">
        <v>485</v>
      </c>
      <c r="K40" s="222" t="s">
        <v>586</v>
      </c>
    </row>
    <row r="41">
      <c r="A41" s="224" t="s">
        <v>587</v>
      </c>
      <c r="B41" s="225">
        <v>3.0</v>
      </c>
      <c r="C41" s="224" t="s">
        <v>572</v>
      </c>
      <c r="D41" s="225" t="s">
        <v>10</v>
      </c>
      <c r="E41" s="224" t="s">
        <v>10</v>
      </c>
      <c r="F41" s="224" t="s">
        <v>10</v>
      </c>
      <c r="G41" s="224" t="s">
        <v>462</v>
      </c>
      <c r="H41" s="226">
        <v>1.0</v>
      </c>
      <c r="I41" s="224" t="s">
        <v>493</v>
      </c>
      <c r="J41" s="228" t="s">
        <v>588</v>
      </c>
      <c r="K41" s="224" t="s">
        <v>589</v>
      </c>
    </row>
    <row r="42">
      <c r="A42" s="217" t="s">
        <v>590</v>
      </c>
      <c r="B42" s="229">
        <v>5.0</v>
      </c>
      <c r="C42" s="217" t="s">
        <v>536</v>
      </c>
      <c r="D42" s="218" t="s">
        <v>10</v>
      </c>
      <c r="E42" s="219" t="s">
        <v>10</v>
      </c>
      <c r="F42" s="217" t="s">
        <v>10</v>
      </c>
      <c r="G42" s="219" t="s">
        <v>492</v>
      </c>
      <c r="H42" s="220">
        <v>1.0</v>
      </c>
      <c r="I42" s="217" t="s">
        <v>493</v>
      </c>
      <c r="J42" s="221" t="s">
        <v>588</v>
      </c>
      <c r="K42" s="217" t="s">
        <v>592</v>
      </c>
    </row>
    <row r="43">
      <c r="A43" s="231" t="s">
        <v>593</v>
      </c>
      <c r="B43" s="225">
        <v>7.0</v>
      </c>
      <c r="C43" s="231" t="s">
        <v>506</v>
      </c>
      <c r="D43" s="233" t="s">
        <v>10</v>
      </c>
      <c r="E43" s="231" t="s">
        <v>10</v>
      </c>
      <c r="F43" s="224" t="s">
        <v>10</v>
      </c>
      <c r="G43" s="231" t="s">
        <v>492</v>
      </c>
      <c r="H43" s="226" t="s">
        <v>10</v>
      </c>
      <c r="I43" s="231" t="s">
        <v>451</v>
      </c>
      <c r="J43" s="235" t="s">
        <v>10</v>
      </c>
      <c r="K43" s="224" t="s">
        <v>596</v>
      </c>
    </row>
    <row r="44">
      <c r="A44" s="219" t="s">
        <v>597</v>
      </c>
      <c r="B44" s="229">
        <v>10.0</v>
      </c>
      <c r="C44" s="219" t="s">
        <v>506</v>
      </c>
      <c r="D44" s="218" t="s">
        <v>10</v>
      </c>
      <c r="E44" s="219" t="s">
        <v>10</v>
      </c>
      <c r="F44" s="217" t="s">
        <v>10</v>
      </c>
      <c r="G44" s="219" t="s">
        <v>462</v>
      </c>
      <c r="H44" s="238">
        <v>1.0</v>
      </c>
      <c r="I44" s="217" t="s">
        <v>443</v>
      </c>
      <c r="J44" s="240" t="s">
        <v>510</v>
      </c>
      <c r="K44" s="217" t="s">
        <v>598</v>
      </c>
    </row>
    <row r="45">
      <c r="A45" s="148" t="s">
        <v>158</v>
      </c>
      <c r="B45" s="149"/>
      <c r="C45" s="149"/>
      <c r="D45" s="149"/>
      <c r="E45" s="149"/>
      <c r="F45" s="149"/>
      <c r="G45" s="149"/>
      <c r="H45" s="149"/>
      <c r="I45" s="149"/>
      <c r="J45" s="149"/>
      <c r="K45" s="149"/>
    </row>
    <row r="46">
      <c r="A46" s="150" t="s">
        <v>602</v>
      </c>
      <c r="B46" s="7"/>
      <c r="C46" s="7"/>
      <c r="D46" s="7"/>
      <c r="E46" s="7"/>
      <c r="F46" s="7"/>
      <c r="G46" s="152" t="s">
        <v>604</v>
      </c>
      <c r="H46" s="7"/>
      <c r="I46" s="7"/>
      <c r="J46" s="7"/>
      <c r="K46" s="7"/>
    </row>
    <row r="47">
      <c r="A47" s="248" t="s">
        <v>340</v>
      </c>
      <c r="B47" s="249">
        <v>1.0</v>
      </c>
      <c r="C47" s="248" t="s">
        <v>479</v>
      </c>
      <c r="D47" s="249" t="s">
        <v>10</v>
      </c>
      <c r="E47" s="248" t="s">
        <v>10</v>
      </c>
      <c r="F47" s="251" t="s">
        <v>10</v>
      </c>
      <c r="G47" s="251" t="s">
        <v>479</v>
      </c>
      <c r="H47" s="252" t="s">
        <v>10</v>
      </c>
      <c r="I47" s="248" t="s">
        <v>10</v>
      </c>
      <c r="J47" s="253" t="s">
        <v>10</v>
      </c>
      <c r="K47" s="251" t="s">
        <v>613</v>
      </c>
    </row>
    <row r="48">
      <c r="A48" s="255" t="s">
        <v>216</v>
      </c>
      <c r="B48" s="258">
        <v>1.0</v>
      </c>
      <c r="C48" s="255" t="s">
        <v>572</v>
      </c>
      <c r="D48" s="258" t="s">
        <v>10</v>
      </c>
      <c r="E48" s="255" t="s">
        <v>10</v>
      </c>
      <c r="F48" s="255" t="s">
        <v>10</v>
      </c>
      <c r="G48" s="255" t="s">
        <v>565</v>
      </c>
      <c r="H48" s="260" t="s">
        <v>10</v>
      </c>
      <c r="I48" s="255" t="s">
        <v>10</v>
      </c>
      <c r="J48" s="262" t="s">
        <v>10</v>
      </c>
      <c r="K48" s="255" t="s">
        <v>617</v>
      </c>
    </row>
    <row r="49">
      <c r="A49" s="251" t="s">
        <v>618</v>
      </c>
      <c r="B49" s="264">
        <v>3.0</v>
      </c>
      <c r="C49" s="251" t="s">
        <v>572</v>
      </c>
      <c r="D49" s="264" t="s">
        <v>10</v>
      </c>
      <c r="E49" s="251" t="s">
        <v>10</v>
      </c>
      <c r="F49" s="251" t="s">
        <v>10</v>
      </c>
      <c r="G49" s="251" t="s">
        <v>507</v>
      </c>
      <c r="H49" s="266" t="s">
        <v>10</v>
      </c>
      <c r="I49" s="251" t="s">
        <v>451</v>
      </c>
      <c r="J49" s="267" t="s">
        <v>10</v>
      </c>
      <c r="K49" s="251" t="s">
        <v>626</v>
      </c>
    </row>
    <row r="50">
      <c r="A50" s="255" t="s">
        <v>160</v>
      </c>
      <c r="B50" s="258">
        <v>5.0</v>
      </c>
      <c r="C50" s="255" t="s">
        <v>536</v>
      </c>
      <c r="D50" s="268" t="s">
        <v>10</v>
      </c>
      <c r="E50" s="271" t="s">
        <v>10</v>
      </c>
      <c r="F50" s="255" t="s">
        <v>10</v>
      </c>
      <c r="G50" s="255" t="s">
        <v>507</v>
      </c>
      <c r="H50" s="260" t="s">
        <v>10</v>
      </c>
      <c r="I50" s="271" t="s">
        <v>451</v>
      </c>
      <c r="J50" s="273" t="s">
        <v>10</v>
      </c>
      <c r="K50" s="255" t="s">
        <v>632</v>
      </c>
    </row>
    <row r="51">
      <c r="A51" s="274" t="s">
        <v>633</v>
      </c>
      <c r="B51" s="264">
        <v>7.0</v>
      </c>
      <c r="C51" s="274" t="s">
        <v>536</v>
      </c>
      <c r="D51" s="275" t="s">
        <v>10</v>
      </c>
      <c r="E51" s="274" t="s">
        <v>10</v>
      </c>
      <c r="F51" s="251" t="s">
        <v>10</v>
      </c>
      <c r="G51" s="274" t="s">
        <v>507</v>
      </c>
      <c r="H51" s="266" t="s">
        <v>10</v>
      </c>
      <c r="I51" s="251" t="s">
        <v>451</v>
      </c>
      <c r="J51" s="277" t="s">
        <v>10</v>
      </c>
      <c r="K51" s="251" t="s">
        <v>641</v>
      </c>
    </row>
    <row r="52">
      <c r="A52" s="278" t="s">
        <v>642</v>
      </c>
      <c r="B52" s="279">
        <v>10.0</v>
      </c>
      <c r="C52" s="278" t="s">
        <v>506</v>
      </c>
      <c r="D52" s="280" t="s">
        <v>10</v>
      </c>
      <c r="E52" s="278" t="s">
        <v>10</v>
      </c>
      <c r="F52" s="281" t="s">
        <v>10</v>
      </c>
      <c r="G52" s="278" t="s">
        <v>507</v>
      </c>
      <c r="H52" s="282" t="s">
        <v>10</v>
      </c>
      <c r="I52" s="278" t="s">
        <v>451</v>
      </c>
      <c r="J52" s="283" t="s">
        <v>10</v>
      </c>
      <c r="K52" s="281" t="s">
        <v>652</v>
      </c>
    </row>
  </sheetData>
  <mergeCells count="28">
    <mergeCell ref="A1:A2"/>
    <mergeCell ref="B1:B2"/>
    <mergeCell ref="C1:C2"/>
    <mergeCell ref="D1:D2"/>
    <mergeCell ref="E1:G1"/>
    <mergeCell ref="H1:J1"/>
    <mergeCell ref="K1:K2"/>
    <mergeCell ref="A3:K3"/>
    <mergeCell ref="A8:K8"/>
    <mergeCell ref="A9:K9"/>
    <mergeCell ref="A10:K10"/>
    <mergeCell ref="A11:F11"/>
    <mergeCell ref="G11:K11"/>
    <mergeCell ref="A17:K17"/>
    <mergeCell ref="A32:F32"/>
    <mergeCell ref="A38:K38"/>
    <mergeCell ref="A39:F39"/>
    <mergeCell ref="G39:K39"/>
    <mergeCell ref="A45:K45"/>
    <mergeCell ref="A46:F46"/>
    <mergeCell ref="G46:K46"/>
    <mergeCell ref="A18:F18"/>
    <mergeCell ref="G18:K18"/>
    <mergeCell ref="A24:K24"/>
    <mergeCell ref="A25:F25"/>
    <mergeCell ref="G25:K25"/>
    <mergeCell ref="A31:K31"/>
    <mergeCell ref="G32:K32"/>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0" max="10" width="12.63"/>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87"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223" t="s">
        <v>585</v>
      </c>
      <c r="B8" s="37"/>
      <c r="C8" s="37"/>
      <c r="D8" s="37"/>
      <c r="E8" s="37"/>
      <c r="F8" s="37"/>
      <c r="G8" s="37"/>
      <c r="H8" s="37"/>
      <c r="I8" s="37"/>
      <c r="J8" s="37"/>
      <c r="K8" s="37"/>
    </row>
    <row r="9">
      <c r="A9" s="147"/>
    </row>
    <row r="10">
      <c r="A10" s="227" t="s">
        <v>114</v>
      </c>
      <c r="B10" s="149"/>
      <c r="C10" s="149"/>
      <c r="D10" s="149"/>
      <c r="E10" s="149"/>
      <c r="F10" s="149"/>
      <c r="G10" s="149"/>
      <c r="H10" s="149"/>
      <c r="I10" s="149"/>
      <c r="J10" s="149"/>
      <c r="K10" s="149"/>
    </row>
    <row r="11">
      <c r="A11" s="230" t="s">
        <v>591</v>
      </c>
      <c r="B11" s="7"/>
      <c r="C11" s="7"/>
      <c r="D11" s="7"/>
      <c r="E11" s="7"/>
      <c r="F11" s="7"/>
      <c r="G11" s="232" t="s">
        <v>594</v>
      </c>
      <c r="H11" s="7"/>
      <c r="I11" s="7"/>
      <c r="J11" s="7"/>
      <c r="K11" s="7"/>
    </row>
    <row r="12">
      <c r="A12" s="234" t="s">
        <v>595</v>
      </c>
      <c r="B12" s="236">
        <v>1.0</v>
      </c>
      <c r="C12" s="234" t="s">
        <v>479</v>
      </c>
      <c r="D12" s="236" t="s">
        <v>10</v>
      </c>
      <c r="E12" s="234" t="s">
        <v>10</v>
      </c>
      <c r="F12" s="237" t="s">
        <v>10</v>
      </c>
      <c r="G12" s="237" t="s">
        <v>479</v>
      </c>
      <c r="H12" s="239" t="s">
        <v>10</v>
      </c>
      <c r="I12" s="234" t="s">
        <v>10</v>
      </c>
      <c r="J12" s="241" t="s">
        <v>10</v>
      </c>
      <c r="K12" s="237" t="s">
        <v>599</v>
      </c>
    </row>
    <row r="13">
      <c r="A13" s="242" t="s">
        <v>600</v>
      </c>
      <c r="B13" s="243">
        <v>1.0</v>
      </c>
      <c r="C13" s="244" t="s">
        <v>435</v>
      </c>
      <c r="D13" s="243">
        <v>3.0</v>
      </c>
      <c r="E13" s="242" t="s">
        <v>601</v>
      </c>
      <c r="F13" s="242" t="s">
        <v>603</v>
      </c>
      <c r="G13" s="242" t="s">
        <v>441</v>
      </c>
      <c r="H13" s="245">
        <v>1.0</v>
      </c>
      <c r="I13" s="242" t="s">
        <v>443</v>
      </c>
      <c r="J13" s="246" t="s">
        <v>605</v>
      </c>
      <c r="K13" s="247" t="s">
        <v>606</v>
      </c>
    </row>
    <row r="14">
      <c r="A14" s="234" t="s">
        <v>607</v>
      </c>
      <c r="B14" s="236">
        <v>2.0</v>
      </c>
      <c r="C14" s="234" t="s">
        <v>608</v>
      </c>
      <c r="D14" s="236">
        <v>4.0</v>
      </c>
      <c r="E14" s="234" t="s">
        <v>609</v>
      </c>
      <c r="F14" s="234" t="s">
        <v>603</v>
      </c>
      <c r="G14" s="234" t="s">
        <v>441</v>
      </c>
      <c r="H14" s="250">
        <v>1.0</v>
      </c>
      <c r="I14" s="234" t="s">
        <v>443</v>
      </c>
      <c r="J14" s="241" t="s">
        <v>605</v>
      </c>
      <c r="K14" s="237" t="s">
        <v>610</v>
      </c>
    </row>
    <row r="15">
      <c r="A15" s="242" t="s">
        <v>612</v>
      </c>
      <c r="B15" s="243">
        <v>3.0</v>
      </c>
      <c r="C15" s="242" t="s">
        <v>506</v>
      </c>
      <c r="D15" s="243" t="s">
        <v>10</v>
      </c>
      <c r="E15" s="242" t="s">
        <v>10</v>
      </c>
      <c r="F15" s="244" t="s">
        <v>10</v>
      </c>
      <c r="G15" s="242" t="s">
        <v>492</v>
      </c>
      <c r="H15" s="254" t="s">
        <v>10</v>
      </c>
      <c r="I15" s="242" t="s">
        <v>451</v>
      </c>
      <c r="J15" s="257" t="s">
        <v>10</v>
      </c>
      <c r="K15" s="259" t="s">
        <v>614</v>
      </c>
    </row>
    <row r="16">
      <c r="A16" s="234" t="s">
        <v>615</v>
      </c>
      <c r="B16" s="236">
        <v>4.0</v>
      </c>
      <c r="C16" s="234" t="s">
        <v>572</v>
      </c>
      <c r="D16" s="261">
        <v>3.0</v>
      </c>
      <c r="E16" s="234" t="s">
        <v>616</v>
      </c>
      <c r="F16" s="234" t="s">
        <v>603</v>
      </c>
      <c r="G16" s="234" t="s">
        <v>441</v>
      </c>
      <c r="H16" s="250">
        <v>1.0</v>
      </c>
      <c r="I16" s="234" t="s">
        <v>443</v>
      </c>
      <c r="J16" s="263" t="s">
        <v>619</v>
      </c>
      <c r="K16" s="237" t="s">
        <v>620</v>
      </c>
    </row>
    <row r="17">
      <c r="A17" s="242" t="s">
        <v>621</v>
      </c>
      <c r="B17" s="265">
        <v>5.0</v>
      </c>
      <c r="C17" s="247" t="s">
        <v>556</v>
      </c>
      <c r="D17" s="265">
        <v>3.0</v>
      </c>
      <c r="E17" s="247" t="s">
        <v>623</v>
      </c>
      <c r="F17" s="242" t="s">
        <v>603</v>
      </c>
      <c r="G17" s="242" t="s">
        <v>492</v>
      </c>
      <c r="H17" s="245">
        <v>1.0</v>
      </c>
      <c r="I17" s="242" t="s">
        <v>443</v>
      </c>
      <c r="J17" s="257" t="s">
        <v>605</v>
      </c>
      <c r="K17" s="247" t="s">
        <v>625</v>
      </c>
    </row>
    <row r="18">
      <c r="A18" s="234" t="s">
        <v>289</v>
      </c>
      <c r="B18" s="236">
        <v>6.0</v>
      </c>
      <c r="C18" s="234" t="s">
        <v>506</v>
      </c>
      <c r="D18" s="236">
        <v>4.0</v>
      </c>
      <c r="E18" s="234" t="s">
        <v>627</v>
      </c>
      <c r="F18" s="234" t="s">
        <v>603</v>
      </c>
      <c r="G18" s="234" t="s">
        <v>441</v>
      </c>
      <c r="H18" s="250">
        <v>1.0</v>
      </c>
      <c r="I18" s="270" t="s">
        <v>443</v>
      </c>
      <c r="J18" s="241" t="s">
        <v>605</v>
      </c>
      <c r="K18" s="237" t="s">
        <v>629</v>
      </c>
    </row>
    <row r="19">
      <c r="A19" s="242" t="s">
        <v>630</v>
      </c>
      <c r="B19" s="272">
        <v>7.0</v>
      </c>
      <c r="C19" s="244" t="s">
        <v>556</v>
      </c>
      <c r="D19" s="243">
        <v>4.0</v>
      </c>
      <c r="E19" s="244" t="s">
        <v>42</v>
      </c>
      <c r="F19" s="242" t="s">
        <v>603</v>
      </c>
      <c r="G19" s="242" t="s">
        <v>441</v>
      </c>
      <c r="H19" s="245">
        <v>1.0</v>
      </c>
      <c r="I19" s="242" t="s">
        <v>443</v>
      </c>
      <c r="J19" s="246" t="s">
        <v>634</v>
      </c>
      <c r="K19" s="247" t="s">
        <v>635</v>
      </c>
    </row>
    <row r="20">
      <c r="A20" s="234" t="s">
        <v>133</v>
      </c>
      <c r="B20" s="236">
        <v>8.0</v>
      </c>
      <c r="C20" s="234" t="s">
        <v>572</v>
      </c>
      <c r="D20" s="236">
        <v>5.0</v>
      </c>
      <c r="E20" s="234" t="s">
        <v>636</v>
      </c>
      <c r="F20" s="234" t="s">
        <v>603</v>
      </c>
      <c r="G20" s="234" t="s">
        <v>441</v>
      </c>
      <c r="H20" s="250" t="s">
        <v>483</v>
      </c>
      <c r="I20" s="237" t="s">
        <v>576</v>
      </c>
      <c r="J20" s="276" t="s">
        <v>638</v>
      </c>
      <c r="K20" s="237" t="s">
        <v>639</v>
      </c>
    </row>
    <row r="21">
      <c r="A21" s="242" t="s">
        <v>640</v>
      </c>
      <c r="B21" s="243">
        <v>9.0</v>
      </c>
      <c r="C21" s="244" t="s">
        <v>491</v>
      </c>
      <c r="D21" s="243">
        <v>4.0</v>
      </c>
      <c r="E21" s="242" t="s">
        <v>643</v>
      </c>
      <c r="F21" s="242" t="s">
        <v>603</v>
      </c>
      <c r="G21" s="242" t="s">
        <v>441</v>
      </c>
      <c r="H21" s="245">
        <v>1.0</v>
      </c>
      <c r="I21" s="242" t="s">
        <v>443</v>
      </c>
      <c r="J21" s="257" t="s">
        <v>605</v>
      </c>
      <c r="K21" s="244" t="s">
        <v>645</v>
      </c>
    </row>
    <row r="22">
      <c r="A22" s="234" t="s">
        <v>646</v>
      </c>
      <c r="B22" s="236">
        <v>10.0</v>
      </c>
      <c r="C22" s="234" t="s">
        <v>506</v>
      </c>
      <c r="D22" s="236">
        <v>5.0</v>
      </c>
      <c r="E22" s="237" t="s">
        <v>647</v>
      </c>
      <c r="F22" s="234" t="s">
        <v>603</v>
      </c>
      <c r="G22" s="234" t="s">
        <v>441</v>
      </c>
      <c r="H22" s="250">
        <v>1.0</v>
      </c>
      <c r="I22" s="234" t="s">
        <v>443</v>
      </c>
      <c r="J22" s="241" t="s">
        <v>649</v>
      </c>
      <c r="K22" s="237" t="s">
        <v>650</v>
      </c>
    </row>
    <row r="23">
      <c r="A23" s="227" t="s">
        <v>108</v>
      </c>
      <c r="B23" s="149"/>
      <c r="C23" s="149"/>
      <c r="D23" s="149"/>
      <c r="E23" s="149"/>
      <c r="F23" s="149"/>
      <c r="G23" s="149"/>
      <c r="H23" s="149"/>
      <c r="I23" s="149"/>
      <c r="J23" s="149"/>
      <c r="K23" s="149"/>
    </row>
    <row r="24">
      <c r="A24" s="230" t="s">
        <v>655</v>
      </c>
      <c r="B24" s="7"/>
      <c r="C24" s="7"/>
      <c r="D24" s="7"/>
      <c r="E24" s="7"/>
      <c r="F24" s="7"/>
      <c r="G24" s="232" t="s">
        <v>656</v>
      </c>
      <c r="H24" s="7"/>
      <c r="I24" s="7"/>
      <c r="J24" s="7"/>
      <c r="K24" s="7"/>
    </row>
    <row r="25">
      <c r="A25" s="291" t="s">
        <v>658</v>
      </c>
      <c r="B25" s="293">
        <v>1.0</v>
      </c>
      <c r="C25" s="291" t="s">
        <v>435</v>
      </c>
      <c r="D25" s="293">
        <v>2.0</v>
      </c>
      <c r="E25" s="291" t="s">
        <v>42</v>
      </c>
      <c r="F25" s="291" t="s">
        <v>603</v>
      </c>
      <c r="G25" s="291" t="s">
        <v>441</v>
      </c>
      <c r="H25" s="295">
        <v>1.0</v>
      </c>
      <c r="I25" s="291" t="s">
        <v>443</v>
      </c>
      <c r="J25" s="296" t="s">
        <v>661</v>
      </c>
      <c r="K25" s="291" t="s">
        <v>662</v>
      </c>
    </row>
    <row r="26">
      <c r="A26" s="297" t="s">
        <v>663</v>
      </c>
      <c r="B26" s="298">
        <v>2.0</v>
      </c>
      <c r="C26" s="297" t="s">
        <v>572</v>
      </c>
      <c r="D26" s="298">
        <v>3.0</v>
      </c>
      <c r="E26" s="297" t="s">
        <v>609</v>
      </c>
      <c r="F26" s="297" t="s">
        <v>603</v>
      </c>
      <c r="G26" s="297" t="s">
        <v>441</v>
      </c>
      <c r="H26" s="299">
        <v>1.0</v>
      </c>
      <c r="I26" s="297" t="s">
        <v>443</v>
      </c>
      <c r="J26" s="300" t="s">
        <v>668</v>
      </c>
      <c r="K26" s="297" t="s">
        <v>670</v>
      </c>
    </row>
    <row r="27">
      <c r="A27" s="291" t="s">
        <v>297</v>
      </c>
      <c r="B27" s="293">
        <v>3.0</v>
      </c>
      <c r="C27" s="291" t="s">
        <v>572</v>
      </c>
      <c r="D27" s="293">
        <v>5.0</v>
      </c>
      <c r="E27" s="291" t="s">
        <v>672</v>
      </c>
      <c r="F27" s="291" t="s">
        <v>603</v>
      </c>
      <c r="G27" s="291" t="s">
        <v>441</v>
      </c>
      <c r="H27" s="295">
        <v>1.0</v>
      </c>
      <c r="I27" s="291" t="s">
        <v>443</v>
      </c>
      <c r="J27" s="296" t="s">
        <v>661</v>
      </c>
      <c r="K27" s="291" t="s">
        <v>674</v>
      </c>
    </row>
    <row r="28">
      <c r="A28" s="297" t="s">
        <v>676</v>
      </c>
      <c r="B28" s="298">
        <v>4.0</v>
      </c>
      <c r="C28" s="297" t="s">
        <v>608</v>
      </c>
      <c r="D28" s="298">
        <v>3.0</v>
      </c>
      <c r="E28" s="297" t="s">
        <v>679</v>
      </c>
      <c r="F28" s="297" t="s">
        <v>603</v>
      </c>
      <c r="G28" s="297" t="s">
        <v>441</v>
      </c>
      <c r="H28" s="299">
        <v>1.0</v>
      </c>
      <c r="I28" s="297" t="s">
        <v>443</v>
      </c>
      <c r="J28" s="300" t="s">
        <v>661</v>
      </c>
      <c r="K28" s="297" t="s">
        <v>680</v>
      </c>
    </row>
    <row r="29">
      <c r="A29" s="291" t="s">
        <v>681</v>
      </c>
      <c r="B29" s="293">
        <v>5.0</v>
      </c>
      <c r="C29" s="291" t="s">
        <v>608</v>
      </c>
      <c r="D29" s="293">
        <v>3.0</v>
      </c>
      <c r="E29" s="291" t="s">
        <v>683</v>
      </c>
      <c r="F29" s="291" t="s">
        <v>603</v>
      </c>
      <c r="G29" s="291" t="s">
        <v>441</v>
      </c>
      <c r="H29" s="295" t="s">
        <v>483</v>
      </c>
      <c r="I29" s="291" t="s">
        <v>576</v>
      </c>
      <c r="J29" s="296" t="s">
        <v>685</v>
      </c>
      <c r="K29" s="291" t="s">
        <v>687</v>
      </c>
    </row>
    <row r="30">
      <c r="A30" s="297" t="s">
        <v>688</v>
      </c>
      <c r="B30" s="298">
        <v>6.0</v>
      </c>
      <c r="C30" s="297" t="s">
        <v>491</v>
      </c>
      <c r="D30" s="298">
        <v>4.0</v>
      </c>
      <c r="E30" s="297" t="s">
        <v>616</v>
      </c>
      <c r="F30" s="297" t="s">
        <v>603</v>
      </c>
      <c r="G30" s="297" t="s">
        <v>441</v>
      </c>
      <c r="H30" s="299">
        <v>1.0</v>
      </c>
      <c r="I30" s="297" t="s">
        <v>443</v>
      </c>
      <c r="J30" s="300" t="s">
        <v>605</v>
      </c>
      <c r="K30" s="297" t="s">
        <v>692</v>
      </c>
    </row>
    <row r="31">
      <c r="A31" s="291" t="s">
        <v>694</v>
      </c>
      <c r="B31" s="293">
        <v>7.0</v>
      </c>
      <c r="C31" s="291" t="s">
        <v>556</v>
      </c>
      <c r="D31" s="293">
        <v>4.0</v>
      </c>
      <c r="E31" s="291" t="s">
        <v>695</v>
      </c>
      <c r="F31" s="291" t="s">
        <v>603</v>
      </c>
      <c r="G31" s="291" t="s">
        <v>441</v>
      </c>
      <c r="H31" s="295">
        <v>1.0</v>
      </c>
      <c r="I31" s="291" t="s">
        <v>443</v>
      </c>
      <c r="J31" s="296" t="s">
        <v>661</v>
      </c>
      <c r="K31" s="291" t="s">
        <v>698</v>
      </c>
    </row>
    <row r="32">
      <c r="A32" s="297" t="s">
        <v>699</v>
      </c>
      <c r="B32" s="298">
        <v>8.0</v>
      </c>
      <c r="C32" s="297" t="s">
        <v>556</v>
      </c>
      <c r="D32" s="298">
        <v>5.0</v>
      </c>
      <c r="E32" s="297" t="s">
        <v>700</v>
      </c>
      <c r="F32" s="297" t="s">
        <v>603</v>
      </c>
      <c r="G32" s="297" t="s">
        <v>441</v>
      </c>
      <c r="H32" s="299">
        <v>1.0</v>
      </c>
      <c r="I32" s="297" t="s">
        <v>443</v>
      </c>
      <c r="J32" s="300" t="s">
        <v>703</v>
      </c>
      <c r="K32" s="297" t="s">
        <v>705</v>
      </c>
    </row>
    <row r="33">
      <c r="A33" s="291" t="s">
        <v>706</v>
      </c>
      <c r="B33" s="293">
        <v>9.0</v>
      </c>
      <c r="C33" s="291" t="s">
        <v>506</v>
      </c>
      <c r="D33" s="293">
        <v>4.0</v>
      </c>
      <c r="E33" s="291" t="s">
        <v>709</v>
      </c>
      <c r="F33" s="291" t="s">
        <v>603</v>
      </c>
      <c r="G33" s="291" t="s">
        <v>441</v>
      </c>
      <c r="H33" s="295">
        <v>1.0</v>
      </c>
      <c r="I33" s="291" t="s">
        <v>576</v>
      </c>
      <c r="J33" s="296" t="s">
        <v>710</v>
      </c>
      <c r="K33" s="291" t="s">
        <v>711</v>
      </c>
    </row>
    <row r="34">
      <c r="A34" s="297" t="s">
        <v>713</v>
      </c>
      <c r="B34" s="298">
        <v>10.0</v>
      </c>
      <c r="C34" s="297" t="s">
        <v>506</v>
      </c>
      <c r="D34" s="298">
        <v>4.0</v>
      </c>
      <c r="E34" s="297" t="s">
        <v>715</v>
      </c>
      <c r="F34" s="297" t="s">
        <v>603</v>
      </c>
      <c r="G34" s="297" t="s">
        <v>441</v>
      </c>
      <c r="H34" s="299">
        <v>1.0</v>
      </c>
      <c r="I34" s="297" t="s">
        <v>443</v>
      </c>
      <c r="J34" s="300" t="s">
        <v>605</v>
      </c>
      <c r="K34" s="297" t="s">
        <v>717</v>
      </c>
    </row>
    <row r="35">
      <c r="A35" s="227" t="s">
        <v>118</v>
      </c>
      <c r="B35" s="149"/>
      <c r="C35" s="149"/>
      <c r="D35" s="149"/>
      <c r="E35" s="149"/>
      <c r="F35" s="149"/>
      <c r="G35" s="149"/>
      <c r="H35" s="149"/>
      <c r="I35" s="149"/>
      <c r="J35" s="149"/>
      <c r="K35" s="149"/>
    </row>
    <row r="36">
      <c r="A36" s="230" t="s">
        <v>723</v>
      </c>
      <c r="B36" s="7"/>
      <c r="C36" s="7"/>
      <c r="D36" s="7"/>
      <c r="E36" s="7"/>
      <c r="F36" s="7"/>
      <c r="G36" s="232" t="s">
        <v>727</v>
      </c>
      <c r="H36" s="7"/>
      <c r="I36" s="7"/>
      <c r="J36" s="7"/>
      <c r="K36" s="7"/>
    </row>
    <row r="37">
      <c r="A37" s="244" t="s">
        <v>730</v>
      </c>
      <c r="B37" s="272">
        <v>1.0</v>
      </c>
      <c r="C37" s="244" t="s">
        <v>435</v>
      </c>
      <c r="D37" s="272" t="s">
        <v>10</v>
      </c>
      <c r="E37" s="244" t="s">
        <v>10</v>
      </c>
      <c r="F37" s="247" t="s">
        <v>10</v>
      </c>
      <c r="G37" s="244" t="s">
        <v>565</v>
      </c>
      <c r="H37" s="254" t="s">
        <v>10</v>
      </c>
      <c r="I37" s="244" t="s">
        <v>451</v>
      </c>
      <c r="J37" s="246" t="s">
        <v>10</v>
      </c>
      <c r="K37" s="247" t="s">
        <v>733</v>
      </c>
    </row>
    <row r="38">
      <c r="A38" s="316" t="s">
        <v>734</v>
      </c>
      <c r="B38" s="319">
        <v>1.0</v>
      </c>
      <c r="C38" s="321" t="s">
        <v>435</v>
      </c>
      <c r="D38" s="319">
        <v>3.0</v>
      </c>
      <c r="E38" s="321" t="s">
        <v>740</v>
      </c>
      <c r="F38" s="316" t="s">
        <v>603</v>
      </c>
      <c r="G38" s="316" t="s">
        <v>441</v>
      </c>
      <c r="H38" s="324">
        <v>1.0</v>
      </c>
      <c r="I38" s="321" t="s">
        <v>443</v>
      </c>
      <c r="J38" s="325" t="s">
        <v>744</v>
      </c>
      <c r="K38" s="321" t="s">
        <v>746</v>
      </c>
    </row>
    <row r="39">
      <c r="A39" s="244" t="s">
        <v>120</v>
      </c>
      <c r="B39" s="272">
        <v>2.0</v>
      </c>
      <c r="C39" s="244" t="s">
        <v>572</v>
      </c>
      <c r="D39" s="272">
        <v>3.0</v>
      </c>
      <c r="E39" s="247" t="s">
        <v>745</v>
      </c>
      <c r="F39" s="244" t="s">
        <v>603</v>
      </c>
      <c r="G39" s="244" t="s">
        <v>441</v>
      </c>
      <c r="H39" s="254" t="s">
        <v>483</v>
      </c>
      <c r="I39" s="244" t="s">
        <v>576</v>
      </c>
      <c r="J39" s="246" t="s">
        <v>485</v>
      </c>
      <c r="K39" s="247" t="s">
        <v>747</v>
      </c>
    </row>
    <row r="40">
      <c r="A40" s="316" t="s">
        <v>749</v>
      </c>
      <c r="B40" s="319">
        <v>3.0</v>
      </c>
      <c r="C40" s="316" t="s">
        <v>556</v>
      </c>
      <c r="D40" s="319">
        <v>3.0</v>
      </c>
      <c r="E40" s="321" t="s">
        <v>42</v>
      </c>
      <c r="F40" s="316" t="s">
        <v>603</v>
      </c>
      <c r="G40" s="316" t="s">
        <v>441</v>
      </c>
      <c r="H40" s="330">
        <v>1.0</v>
      </c>
      <c r="I40" s="316" t="s">
        <v>443</v>
      </c>
      <c r="J40" s="332" t="s">
        <v>753</v>
      </c>
      <c r="K40" s="334" t="s">
        <v>755</v>
      </c>
    </row>
    <row r="41">
      <c r="A41" s="242" t="s">
        <v>760</v>
      </c>
      <c r="B41" s="243">
        <v>4.0</v>
      </c>
      <c r="C41" s="242" t="s">
        <v>572</v>
      </c>
      <c r="D41" s="265" t="s">
        <v>10</v>
      </c>
      <c r="E41" s="247" t="s">
        <v>737</v>
      </c>
      <c r="F41" s="247" t="s">
        <v>657</v>
      </c>
      <c r="G41" s="242" t="s">
        <v>441</v>
      </c>
      <c r="H41" s="336">
        <v>1.0</v>
      </c>
      <c r="I41" s="242" t="s">
        <v>443</v>
      </c>
      <c r="J41" s="257" t="s">
        <v>558</v>
      </c>
      <c r="K41" s="247" t="s">
        <v>764</v>
      </c>
    </row>
    <row r="42">
      <c r="A42" s="321" t="s">
        <v>767</v>
      </c>
      <c r="B42" s="338">
        <v>5.0</v>
      </c>
      <c r="C42" s="321" t="s">
        <v>479</v>
      </c>
      <c r="D42" s="341" t="s">
        <v>10</v>
      </c>
      <c r="E42" s="342" t="s">
        <v>10</v>
      </c>
      <c r="F42" s="321" t="s">
        <v>10</v>
      </c>
      <c r="G42" s="321" t="s">
        <v>479</v>
      </c>
      <c r="H42" s="324" t="s">
        <v>10</v>
      </c>
      <c r="I42" s="321" t="s">
        <v>10</v>
      </c>
      <c r="J42" s="344" t="s">
        <v>10</v>
      </c>
      <c r="K42" s="334" t="s">
        <v>781</v>
      </c>
    </row>
    <row r="43">
      <c r="A43" s="247" t="s">
        <v>782</v>
      </c>
      <c r="B43" s="243">
        <v>6.0</v>
      </c>
      <c r="C43" s="247" t="s">
        <v>491</v>
      </c>
      <c r="D43" s="265">
        <v>3.0</v>
      </c>
      <c r="E43" s="247" t="s">
        <v>786</v>
      </c>
      <c r="F43" s="242" t="s">
        <v>603</v>
      </c>
      <c r="G43" s="242" t="s">
        <v>441</v>
      </c>
      <c r="H43" s="336">
        <v>1.0</v>
      </c>
      <c r="I43" s="242" t="s">
        <v>443</v>
      </c>
      <c r="J43" s="257" t="s">
        <v>588</v>
      </c>
      <c r="K43" s="247" t="s">
        <v>787</v>
      </c>
    </row>
    <row r="44">
      <c r="A44" s="342" t="s">
        <v>788</v>
      </c>
      <c r="B44" s="338">
        <v>7.0</v>
      </c>
      <c r="C44" s="342" t="s">
        <v>572</v>
      </c>
      <c r="D44" s="338">
        <v>3.0</v>
      </c>
      <c r="E44" s="321" t="s">
        <v>636</v>
      </c>
      <c r="F44" s="342" t="s">
        <v>603</v>
      </c>
      <c r="G44" s="342" t="s">
        <v>441</v>
      </c>
      <c r="H44" s="351">
        <v>1.0</v>
      </c>
      <c r="I44" s="342" t="s">
        <v>443</v>
      </c>
      <c r="J44" s="325" t="s">
        <v>792</v>
      </c>
      <c r="K44" s="334" t="s">
        <v>793</v>
      </c>
    </row>
    <row r="45">
      <c r="A45" s="242" t="s">
        <v>794</v>
      </c>
      <c r="B45" s="243">
        <v>8.0</v>
      </c>
      <c r="C45" s="242" t="s">
        <v>556</v>
      </c>
      <c r="D45" s="243">
        <v>4.0</v>
      </c>
      <c r="E45" s="247" t="s">
        <v>772</v>
      </c>
      <c r="F45" s="242" t="s">
        <v>603</v>
      </c>
      <c r="G45" s="242" t="s">
        <v>441</v>
      </c>
      <c r="H45" s="336">
        <v>1.0</v>
      </c>
      <c r="I45" s="242" t="s">
        <v>443</v>
      </c>
      <c r="J45" s="356" t="s">
        <v>799</v>
      </c>
      <c r="K45" s="247" t="s">
        <v>800</v>
      </c>
    </row>
    <row r="46">
      <c r="A46" s="321" t="s">
        <v>801</v>
      </c>
      <c r="B46" s="338">
        <v>9.0</v>
      </c>
      <c r="C46" s="321" t="s">
        <v>491</v>
      </c>
      <c r="D46" s="338">
        <v>4.0</v>
      </c>
      <c r="E46" s="321" t="s">
        <v>803</v>
      </c>
      <c r="F46" s="342" t="s">
        <v>603</v>
      </c>
      <c r="G46" s="342" t="s">
        <v>441</v>
      </c>
      <c r="H46" s="324">
        <v>1.0</v>
      </c>
      <c r="I46" s="321" t="s">
        <v>443</v>
      </c>
      <c r="J46" s="325" t="s">
        <v>805</v>
      </c>
      <c r="K46" s="334" t="s">
        <v>806</v>
      </c>
    </row>
    <row r="47">
      <c r="A47" s="360" t="s">
        <v>807</v>
      </c>
      <c r="B47" s="362">
        <v>10.0</v>
      </c>
      <c r="C47" s="360" t="s">
        <v>506</v>
      </c>
      <c r="D47" s="365">
        <v>4.0</v>
      </c>
      <c r="E47" s="367" t="s">
        <v>623</v>
      </c>
      <c r="F47" s="360" t="s">
        <v>603</v>
      </c>
      <c r="G47" s="360" t="s">
        <v>441</v>
      </c>
      <c r="H47" s="369">
        <v>1.0</v>
      </c>
      <c r="I47" s="367" t="s">
        <v>443</v>
      </c>
      <c r="J47" s="371" t="s">
        <v>813</v>
      </c>
      <c r="K47" s="372" t="s">
        <v>815</v>
      </c>
    </row>
  </sheetData>
  <mergeCells count="19">
    <mergeCell ref="A1:A2"/>
    <mergeCell ref="B1:B2"/>
    <mergeCell ref="C1:C2"/>
    <mergeCell ref="D1:D2"/>
    <mergeCell ref="E1:G1"/>
    <mergeCell ref="H1:J1"/>
    <mergeCell ref="K1:K2"/>
    <mergeCell ref="A24:F24"/>
    <mergeCell ref="G24:K24"/>
    <mergeCell ref="A35:K35"/>
    <mergeCell ref="A36:F36"/>
    <mergeCell ref="G36:K36"/>
    <mergeCell ref="A3:K3"/>
    <mergeCell ref="A8:K8"/>
    <mergeCell ref="A9:K9"/>
    <mergeCell ref="A10:K10"/>
    <mergeCell ref="A11:F11"/>
    <mergeCell ref="G11:K11"/>
    <mergeCell ref="A23:K23"/>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87"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256" t="s">
        <v>611</v>
      </c>
      <c r="B8" s="37"/>
      <c r="C8" s="37"/>
      <c r="D8" s="37"/>
      <c r="E8" s="37"/>
      <c r="F8" s="37"/>
      <c r="G8" s="37"/>
      <c r="H8" s="37"/>
      <c r="I8" s="37"/>
      <c r="J8" s="37"/>
      <c r="K8" s="37"/>
    </row>
    <row r="9">
      <c r="A9" s="147"/>
    </row>
    <row r="10">
      <c r="A10" s="227" t="s">
        <v>622</v>
      </c>
      <c r="B10" s="149"/>
      <c r="C10" s="149"/>
      <c r="D10" s="149"/>
      <c r="E10" s="149"/>
      <c r="F10" s="149"/>
      <c r="G10" s="149"/>
      <c r="H10" s="149"/>
      <c r="I10" s="149"/>
      <c r="J10" s="149"/>
      <c r="K10" s="149"/>
    </row>
    <row r="11">
      <c r="A11" s="230" t="s">
        <v>628</v>
      </c>
      <c r="B11" s="7"/>
      <c r="C11" s="7"/>
      <c r="D11" s="7"/>
      <c r="E11" s="7"/>
      <c r="F11" s="7"/>
      <c r="G11" s="232" t="s">
        <v>631</v>
      </c>
      <c r="H11" s="7"/>
      <c r="I11" s="7"/>
      <c r="J11" s="7"/>
      <c r="K11" s="7"/>
    </row>
    <row r="12">
      <c r="A12" s="224" t="s">
        <v>637</v>
      </c>
      <c r="B12" s="225">
        <v>1.0</v>
      </c>
      <c r="C12" s="224" t="s">
        <v>479</v>
      </c>
      <c r="D12" s="225" t="s">
        <v>10</v>
      </c>
      <c r="E12" s="224" t="s">
        <v>10</v>
      </c>
      <c r="F12" s="224" t="s">
        <v>10</v>
      </c>
      <c r="G12" s="224" t="s">
        <v>479</v>
      </c>
      <c r="H12" s="226">
        <v>1.0</v>
      </c>
      <c r="I12" s="224" t="s">
        <v>451</v>
      </c>
      <c r="J12" s="228" t="s">
        <v>10</v>
      </c>
      <c r="K12" s="224" t="s">
        <v>653</v>
      </c>
    </row>
    <row r="13">
      <c r="A13" s="285" t="s">
        <v>654</v>
      </c>
      <c r="B13" s="287">
        <v>1.0</v>
      </c>
      <c r="C13" s="285" t="s">
        <v>435</v>
      </c>
      <c r="D13" s="287">
        <v>3.0</v>
      </c>
      <c r="E13" s="285" t="s">
        <v>42</v>
      </c>
      <c r="F13" s="285" t="s">
        <v>657</v>
      </c>
      <c r="G13" s="285" t="s">
        <v>441</v>
      </c>
      <c r="H13" s="290">
        <v>1.0</v>
      </c>
      <c r="I13" s="285" t="s">
        <v>443</v>
      </c>
      <c r="J13" s="294" t="s">
        <v>494</v>
      </c>
      <c r="K13" s="285" t="s">
        <v>659</v>
      </c>
    </row>
    <row r="14">
      <c r="A14" s="224" t="s">
        <v>660</v>
      </c>
      <c r="B14" s="225">
        <v>2.0</v>
      </c>
      <c r="C14" s="224" t="s">
        <v>491</v>
      </c>
      <c r="D14" s="225" t="s">
        <v>10</v>
      </c>
      <c r="E14" s="224" t="s">
        <v>10</v>
      </c>
      <c r="F14" s="224" t="s">
        <v>10</v>
      </c>
      <c r="G14" s="224" t="s">
        <v>507</v>
      </c>
      <c r="H14" s="226">
        <v>1.0</v>
      </c>
      <c r="I14" s="224" t="s">
        <v>451</v>
      </c>
      <c r="J14" s="228" t="s">
        <v>10</v>
      </c>
      <c r="K14" s="224" t="s">
        <v>664</v>
      </c>
    </row>
    <row r="15">
      <c r="A15" s="285" t="s">
        <v>665</v>
      </c>
      <c r="B15" s="287">
        <v>3.0</v>
      </c>
      <c r="C15" s="285" t="s">
        <v>572</v>
      </c>
      <c r="D15" s="287">
        <v>3.0</v>
      </c>
      <c r="E15" s="285" t="s">
        <v>666</v>
      </c>
      <c r="F15" s="285" t="s">
        <v>657</v>
      </c>
      <c r="G15" s="285" t="s">
        <v>441</v>
      </c>
      <c r="H15" s="290">
        <v>1.0</v>
      </c>
      <c r="I15" s="285" t="s">
        <v>443</v>
      </c>
      <c r="J15" s="294" t="s">
        <v>667</v>
      </c>
      <c r="K15" s="285" t="s">
        <v>669</v>
      </c>
    </row>
    <row r="16">
      <c r="A16" s="224" t="s">
        <v>671</v>
      </c>
      <c r="B16" s="225">
        <v>4.0</v>
      </c>
      <c r="C16" s="224" t="s">
        <v>572</v>
      </c>
      <c r="D16" s="225">
        <v>4.0</v>
      </c>
      <c r="E16" s="224" t="s">
        <v>672</v>
      </c>
      <c r="F16" s="224" t="s">
        <v>657</v>
      </c>
      <c r="G16" s="224" t="s">
        <v>441</v>
      </c>
      <c r="H16" s="226">
        <v>1.0</v>
      </c>
      <c r="I16" s="224" t="s">
        <v>443</v>
      </c>
      <c r="J16" s="228" t="s">
        <v>588</v>
      </c>
      <c r="K16" s="224" t="s">
        <v>675</v>
      </c>
    </row>
    <row r="17">
      <c r="A17" s="285" t="s">
        <v>677</v>
      </c>
      <c r="B17" s="287">
        <v>5.0</v>
      </c>
      <c r="C17" s="285" t="s">
        <v>435</v>
      </c>
      <c r="D17" s="287">
        <v>3.0</v>
      </c>
      <c r="E17" s="285" t="s">
        <v>616</v>
      </c>
      <c r="F17" s="285" t="s">
        <v>657</v>
      </c>
      <c r="G17" s="285" t="s">
        <v>441</v>
      </c>
      <c r="H17" s="290">
        <v>1.0</v>
      </c>
      <c r="I17" s="285" t="s">
        <v>443</v>
      </c>
      <c r="J17" s="294" t="s">
        <v>588</v>
      </c>
      <c r="K17" s="285" t="s">
        <v>682</v>
      </c>
    </row>
    <row r="18">
      <c r="A18" s="224" t="s">
        <v>684</v>
      </c>
      <c r="B18" s="225">
        <v>6.0</v>
      </c>
      <c r="C18" s="224" t="s">
        <v>536</v>
      </c>
      <c r="D18" s="225">
        <v>4.0</v>
      </c>
      <c r="E18" s="224" t="s">
        <v>686</v>
      </c>
      <c r="F18" s="224" t="s">
        <v>657</v>
      </c>
      <c r="G18" s="224" t="s">
        <v>441</v>
      </c>
      <c r="H18" s="226" t="s">
        <v>483</v>
      </c>
      <c r="I18" s="224" t="s">
        <v>576</v>
      </c>
      <c r="J18" s="228" t="s">
        <v>485</v>
      </c>
      <c r="K18" s="224" t="s">
        <v>689</v>
      </c>
    </row>
    <row r="19">
      <c r="A19" s="285" t="s">
        <v>690</v>
      </c>
      <c r="B19" s="287">
        <v>7.0</v>
      </c>
      <c r="C19" s="285" t="s">
        <v>536</v>
      </c>
      <c r="D19" s="287">
        <v>4.0</v>
      </c>
      <c r="E19" s="285" t="s">
        <v>693</v>
      </c>
      <c r="F19" s="285" t="s">
        <v>657</v>
      </c>
      <c r="G19" s="285" t="s">
        <v>441</v>
      </c>
      <c r="H19" s="290">
        <v>1.0</v>
      </c>
      <c r="I19" s="285" t="s">
        <v>443</v>
      </c>
      <c r="J19" s="294" t="s">
        <v>445</v>
      </c>
      <c r="K19" s="285" t="s">
        <v>696</v>
      </c>
    </row>
    <row r="20">
      <c r="A20" s="224" t="s">
        <v>697</v>
      </c>
      <c r="B20" s="225">
        <v>8.0</v>
      </c>
      <c r="C20" s="224" t="s">
        <v>572</v>
      </c>
      <c r="D20" s="225">
        <v>4.0</v>
      </c>
      <c r="E20" s="224" t="s">
        <v>627</v>
      </c>
      <c r="F20" s="224" t="s">
        <v>657</v>
      </c>
      <c r="G20" s="224" t="s">
        <v>441</v>
      </c>
      <c r="H20" s="226">
        <v>2.0</v>
      </c>
      <c r="I20" s="224" t="s">
        <v>576</v>
      </c>
      <c r="J20" s="228" t="s">
        <v>494</v>
      </c>
      <c r="K20" s="224" t="s">
        <v>702</v>
      </c>
    </row>
    <row r="21">
      <c r="A21" s="285" t="s">
        <v>704</v>
      </c>
      <c r="B21" s="287">
        <v>9.0</v>
      </c>
      <c r="C21" s="285" t="s">
        <v>506</v>
      </c>
      <c r="D21" s="287" t="s">
        <v>10</v>
      </c>
      <c r="E21" s="285" t="s">
        <v>10</v>
      </c>
      <c r="F21" s="285" t="s">
        <v>10</v>
      </c>
      <c r="G21" s="285" t="s">
        <v>507</v>
      </c>
      <c r="H21" s="290" t="s">
        <v>483</v>
      </c>
      <c r="I21" s="285" t="s">
        <v>484</v>
      </c>
      <c r="J21" s="294" t="s">
        <v>485</v>
      </c>
      <c r="K21" s="285" t="s">
        <v>712</v>
      </c>
    </row>
    <row r="22">
      <c r="A22" s="224" t="s">
        <v>714</v>
      </c>
      <c r="B22" s="225">
        <v>10.0</v>
      </c>
      <c r="C22" s="224" t="s">
        <v>506</v>
      </c>
      <c r="D22" s="225">
        <v>4.0</v>
      </c>
      <c r="E22" s="224" t="s">
        <v>716</v>
      </c>
      <c r="F22" s="224" t="s">
        <v>657</v>
      </c>
      <c r="G22" s="224" t="s">
        <v>441</v>
      </c>
      <c r="H22" s="226">
        <v>1.0</v>
      </c>
      <c r="I22" s="224" t="s">
        <v>443</v>
      </c>
      <c r="J22" s="228" t="s">
        <v>445</v>
      </c>
      <c r="K22" s="224" t="s">
        <v>718</v>
      </c>
    </row>
    <row r="23">
      <c r="A23" s="227" t="s">
        <v>720</v>
      </c>
      <c r="B23" s="149"/>
      <c r="C23" s="149"/>
      <c r="D23" s="149"/>
      <c r="E23" s="149"/>
      <c r="F23" s="149"/>
      <c r="G23" s="149"/>
      <c r="H23" s="149"/>
      <c r="I23" s="149"/>
      <c r="J23" s="149"/>
      <c r="K23" s="149"/>
    </row>
    <row r="24">
      <c r="A24" s="230" t="s">
        <v>725</v>
      </c>
      <c r="B24" s="7"/>
      <c r="C24" s="7"/>
      <c r="D24" s="7"/>
      <c r="E24" s="7"/>
      <c r="F24" s="7"/>
      <c r="G24" s="232" t="s">
        <v>728</v>
      </c>
      <c r="H24" s="7"/>
      <c r="I24" s="7"/>
      <c r="J24" s="7"/>
      <c r="K24" s="7"/>
    </row>
    <row r="25">
      <c r="A25" s="312" t="s">
        <v>731</v>
      </c>
      <c r="B25" s="313">
        <v>1.0</v>
      </c>
      <c r="C25" s="314" t="s">
        <v>435</v>
      </c>
      <c r="D25" s="313">
        <v>2.0</v>
      </c>
      <c r="E25" s="314" t="s">
        <v>724</v>
      </c>
      <c r="F25" s="312" t="s">
        <v>657</v>
      </c>
      <c r="G25" s="312" t="s">
        <v>441</v>
      </c>
      <c r="H25" s="317">
        <v>1.0</v>
      </c>
      <c r="I25" s="312" t="s">
        <v>443</v>
      </c>
      <c r="J25" s="320" t="s">
        <v>701</v>
      </c>
      <c r="K25" s="314" t="s">
        <v>738</v>
      </c>
    </row>
    <row r="26">
      <c r="A26" s="322" t="s">
        <v>739</v>
      </c>
      <c r="B26" s="323">
        <v>2.0</v>
      </c>
      <c r="C26" s="322" t="s">
        <v>572</v>
      </c>
      <c r="D26" s="323">
        <v>3.0</v>
      </c>
      <c r="E26" s="322" t="s">
        <v>743</v>
      </c>
      <c r="F26" s="322" t="s">
        <v>657</v>
      </c>
      <c r="G26" s="322" t="s">
        <v>441</v>
      </c>
      <c r="H26" s="326">
        <v>1.0</v>
      </c>
      <c r="I26" s="322" t="s">
        <v>443</v>
      </c>
      <c r="J26" s="327" t="s">
        <v>494</v>
      </c>
      <c r="K26" s="329" t="s">
        <v>748</v>
      </c>
    </row>
    <row r="27">
      <c r="A27" s="312" t="s">
        <v>751</v>
      </c>
      <c r="B27" s="313">
        <v>3.0</v>
      </c>
      <c r="C27" s="314" t="s">
        <v>556</v>
      </c>
      <c r="D27" s="313">
        <v>3.0</v>
      </c>
      <c r="E27" s="314" t="s">
        <v>693</v>
      </c>
      <c r="F27" s="312" t="s">
        <v>657</v>
      </c>
      <c r="G27" s="312" t="s">
        <v>441</v>
      </c>
      <c r="H27" s="331" t="s">
        <v>483</v>
      </c>
      <c r="I27" s="312" t="s">
        <v>576</v>
      </c>
      <c r="J27" s="333" t="s">
        <v>754</v>
      </c>
      <c r="K27" s="314" t="s">
        <v>757</v>
      </c>
    </row>
    <row r="28">
      <c r="A28" s="322" t="s">
        <v>759</v>
      </c>
      <c r="B28" s="323">
        <v>4.0</v>
      </c>
      <c r="C28" s="322" t="s">
        <v>608</v>
      </c>
      <c r="D28" s="323">
        <v>4.0</v>
      </c>
      <c r="E28" s="322" t="s">
        <v>761</v>
      </c>
      <c r="F28" s="322" t="s">
        <v>657</v>
      </c>
      <c r="G28" s="322" t="s">
        <v>441</v>
      </c>
      <c r="H28" s="335">
        <v>2.0</v>
      </c>
      <c r="I28" s="329" t="s">
        <v>576</v>
      </c>
      <c r="J28" s="327" t="s">
        <v>558</v>
      </c>
      <c r="K28" s="329" t="s">
        <v>763</v>
      </c>
    </row>
    <row r="29">
      <c r="A29" s="337" t="s">
        <v>766</v>
      </c>
      <c r="B29" s="339">
        <v>5.0</v>
      </c>
      <c r="C29" s="337" t="s">
        <v>556</v>
      </c>
      <c r="D29" s="339">
        <v>4.0</v>
      </c>
      <c r="E29" s="337" t="s">
        <v>772</v>
      </c>
      <c r="F29" s="337" t="s">
        <v>657</v>
      </c>
      <c r="G29" s="337" t="s">
        <v>441</v>
      </c>
      <c r="H29" s="343">
        <v>1.0</v>
      </c>
      <c r="I29" s="337" t="s">
        <v>443</v>
      </c>
      <c r="J29" s="333" t="s">
        <v>719</v>
      </c>
      <c r="K29" s="337" t="s">
        <v>778</v>
      </c>
    </row>
    <row r="30">
      <c r="A30" s="345" t="s">
        <v>779</v>
      </c>
      <c r="B30" s="323">
        <v>6.0</v>
      </c>
      <c r="C30" s="329" t="s">
        <v>608</v>
      </c>
      <c r="D30" s="323" t="s">
        <v>10</v>
      </c>
      <c r="E30" s="345" t="s">
        <v>10</v>
      </c>
      <c r="F30" s="329" t="s">
        <v>10</v>
      </c>
      <c r="G30" s="345" t="s">
        <v>492</v>
      </c>
      <c r="H30" s="346">
        <v>1.0</v>
      </c>
      <c r="I30" s="345" t="s">
        <v>785</v>
      </c>
      <c r="J30" s="348" t="s">
        <v>588</v>
      </c>
      <c r="K30" s="329" t="s">
        <v>789</v>
      </c>
    </row>
    <row r="31">
      <c r="A31" s="312" t="s">
        <v>790</v>
      </c>
      <c r="B31" s="313">
        <v>7.0</v>
      </c>
      <c r="C31" s="312" t="s">
        <v>506</v>
      </c>
      <c r="D31" s="313">
        <v>4.0</v>
      </c>
      <c r="E31" s="314" t="s">
        <v>791</v>
      </c>
      <c r="F31" s="337" t="s">
        <v>657</v>
      </c>
      <c r="G31" s="314" t="s">
        <v>441</v>
      </c>
      <c r="H31" s="331">
        <v>3.0</v>
      </c>
      <c r="I31" s="312" t="s">
        <v>576</v>
      </c>
      <c r="J31" s="320" t="s">
        <v>510</v>
      </c>
      <c r="K31" s="314" t="s">
        <v>795</v>
      </c>
    </row>
    <row r="32">
      <c r="A32" s="345" t="s">
        <v>797</v>
      </c>
      <c r="B32" s="357">
        <v>8.0</v>
      </c>
      <c r="C32" s="329" t="s">
        <v>802</v>
      </c>
      <c r="D32" s="357">
        <v>4.0</v>
      </c>
      <c r="E32" s="329" t="s">
        <v>804</v>
      </c>
      <c r="F32" s="345" t="s">
        <v>657</v>
      </c>
      <c r="G32" s="345" t="s">
        <v>441</v>
      </c>
      <c r="H32" s="335" t="s">
        <v>483</v>
      </c>
      <c r="I32" s="345" t="s">
        <v>576</v>
      </c>
      <c r="J32" s="361" t="s">
        <v>808</v>
      </c>
      <c r="K32" s="329" t="s">
        <v>809</v>
      </c>
    </row>
    <row r="33">
      <c r="A33" s="337" t="s">
        <v>810</v>
      </c>
      <c r="B33" s="339">
        <v>9.0</v>
      </c>
      <c r="C33" s="337" t="s">
        <v>556</v>
      </c>
      <c r="D33" s="364">
        <v>4.0</v>
      </c>
      <c r="E33" s="314" t="s">
        <v>772</v>
      </c>
      <c r="F33" s="337" t="s">
        <v>657</v>
      </c>
      <c r="G33" s="337" t="s">
        <v>441</v>
      </c>
      <c r="H33" s="343">
        <v>1.0</v>
      </c>
      <c r="I33" s="337" t="s">
        <v>443</v>
      </c>
      <c r="J33" s="370" t="s">
        <v>445</v>
      </c>
      <c r="K33" s="314" t="s">
        <v>814</v>
      </c>
    </row>
    <row r="34">
      <c r="A34" s="322" t="s">
        <v>816</v>
      </c>
      <c r="B34" s="323">
        <v>10.0</v>
      </c>
      <c r="C34" s="322" t="s">
        <v>506</v>
      </c>
      <c r="D34" s="323">
        <v>5.0</v>
      </c>
      <c r="E34" s="329" t="s">
        <v>818</v>
      </c>
      <c r="F34" s="322" t="s">
        <v>657</v>
      </c>
      <c r="G34" s="322" t="s">
        <v>441</v>
      </c>
      <c r="H34" s="335" t="s">
        <v>483</v>
      </c>
      <c r="I34" s="322" t="s">
        <v>576</v>
      </c>
      <c r="J34" s="361" t="s">
        <v>819</v>
      </c>
      <c r="K34" s="329" t="s">
        <v>821</v>
      </c>
    </row>
    <row r="35">
      <c r="A35" s="227" t="s">
        <v>823</v>
      </c>
      <c r="B35" s="149"/>
      <c r="C35" s="149"/>
      <c r="D35" s="149"/>
      <c r="E35" s="149"/>
      <c r="F35" s="149"/>
      <c r="G35" s="149"/>
      <c r="H35" s="149"/>
      <c r="I35" s="149"/>
      <c r="J35" s="149"/>
      <c r="K35" s="149"/>
    </row>
    <row r="36">
      <c r="A36" s="230" t="s">
        <v>826</v>
      </c>
      <c r="B36" s="7"/>
      <c r="C36" s="7"/>
      <c r="D36" s="7"/>
      <c r="E36" s="7"/>
      <c r="F36" s="7"/>
      <c r="G36" s="232" t="s">
        <v>831</v>
      </c>
      <c r="H36" s="7"/>
      <c r="I36" s="7"/>
      <c r="J36" s="7"/>
      <c r="K36" s="7"/>
    </row>
    <row r="37">
      <c r="A37" s="374" t="s">
        <v>834</v>
      </c>
      <c r="B37" s="374">
        <v>1.0</v>
      </c>
      <c r="C37" s="374" t="s">
        <v>479</v>
      </c>
      <c r="D37" s="374" t="s">
        <v>10</v>
      </c>
      <c r="E37" s="375" t="s">
        <v>10</v>
      </c>
      <c r="F37" s="375" t="s">
        <v>10</v>
      </c>
      <c r="G37" s="374" t="s">
        <v>479</v>
      </c>
      <c r="H37" s="375" t="s">
        <v>10</v>
      </c>
      <c r="I37" s="375" t="s">
        <v>451</v>
      </c>
      <c r="J37" s="374" t="s">
        <v>10</v>
      </c>
      <c r="K37" s="376" t="s">
        <v>838</v>
      </c>
    </row>
    <row r="38">
      <c r="A38" s="378" t="s">
        <v>840</v>
      </c>
      <c r="B38" s="379">
        <v>1.0</v>
      </c>
      <c r="C38" s="378" t="s">
        <v>435</v>
      </c>
      <c r="D38" s="379">
        <v>3.0</v>
      </c>
      <c r="E38" s="378" t="s">
        <v>42</v>
      </c>
      <c r="F38" s="378" t="s">
        <v>657</v>
      </c>
      <c r="G38" s="378" t="s">
        <v>441</v>
      </c>
      <c r="H38" s="382">
        <v>1.0</v>
      </c>
      <c r="I38" s="378" t="s">
        <v>443</v>
      </c>
      <c r="J38" s="383" t="s">
        <v>847</v>
      </c>
      <c r="K38" s="378" t="s">
        <v>858</v>
      </c>
    </row>
    <row r="39">
      <c r="A39" s="385" t="s">
        <v>859</v>
      </c>
      <c r="B39" s="387">
        <v>2.0</v>
      </c>
      <c r="C39" s="385" t="s">
        <v>556</v>
      </c>
      <c r="D39" s="390">
        <v>3.0</v>
      </c>
      <c r="E39" s="385" t="s">
        <v>864</v>
      </c>
      <c r="F39" s="385" t="s">
        <v>657</v>
      </c>
      <c r="G39" s="385" t="s">
        <v>441</v>
      </c>
      <c r="H39" s="394" t="s">
        <v>483</v>
      </c>
      <c r="I39" s="385" t="s">
        <v>576</v>
      </c>
      <c r="J39" s="397" t="s">
        <v>868</v>
      </c>
      <c r="K39" s="400" t="s">
        <v>869</v>
      </c>
    </row>
    <row r="40">
      <c r="A40" s="378" t="s">
        <v>870</v>
      </c>
      <c r="B40" s="404">
        <v>3.0</v>
      </c>
      <c r="C40" s="378" t="s">
        <v>556</v>
      </c>
      <c r="D40" s="379">
        <v>4.0</v>
      </c>
      <c r="E40" s="378" t="s">
        <v>679</v>
      </c>
      <c r="F40" s="378" t="s">
        <v>657</v>
      </c>
      <c r="G40" s="378" t="s">
        <v>441</v>
      </c>
      <c r="H40" s="382">
        <v>1.0</v>
      </c>
      <c r="I40" s="378" t="s">
        <v>443</v>
      </c>
      <c r="J40" s="412" t="s">
        <v>588</v>
      </c>
      <c r="K40" s="378" t="s">
        <v>877</v>
      </c>
    </row>
    <row r="41">
      <c r="A41" s="397" t="s">
        <v>878</v>
      </c>
      <c r="B41" s="397">
        <v>4.0</v>
      </c>
      <c r="C41" s="397" t="s">
        <v>435</v>
      </c>
      <c r="D41" s="397" t="s">
        <v>10</v>
      </c>
      <c r="E41" s="385" t="s">
        <v>10</v>
      </c>
      <c r="F41" s="385" t="s">
        <v>10</v>
      </c>
      <c r="G41" s="397" t="s">
        <v>565</v>
      </c>
      <c r="H41" s="385" t="s">
        <v>10</v>
      </c>
      <c r="I41" s="385" t="s">
        <v>451</v>
      </c>
      <c r="J41" s="397" t="s">
        <v>10</v>
      </c>
      <c r="K41" s="385" t="s">
        <v>886</v>
      </c>
    </row>
    <row r="42">
      <c r="A42" s="378" t="s">
        <v>887</v>
      </c>
      <c r="B42" s="379">
        <v>5.0</v>
      </c>
      <c r="C42" s="378" t="s">
        <v>572</v>
      </c>
      <c r="D42" s="379">
        <v>3.0</v>
      </c>
      <c r="E42" s="378" t="s">
        <v>892</v>
      </c>
      <c r="F42" s="378" t="s">
        <v>657</v>
      </c>
      <c r="G42" s="378" t="s">
        <v>441</v>
      </c>
      <c r="H42" s="382">
        <v>1.0</v>
      </c>
      <c r="I42" s="378" t="s">
        <v>443</v>
      </c>
      <c r="J42" s="412" t="s">
        <v>605</v>
      </c>
      <c r="K42" s="427" t="s">
        <v>894</v>
      </c>
    </row>
    <row r="43">
      <c r="A43" s="385" t="s">
        <v>896</v>
      </c>
      <c r="B43" s="390">
        <v>5.0</v>
      </c>
      <c r="C43" s="385" t="s">
        <v>572</v>
      </c>
      <c r="D43" s="390">
        <v>3.0</v>
      </c>
      <c r="E43" s="385" t="s">
        <v>601</v>
      </c>
      <c r="F43" s="385" t="s">
        <v>657</v>
      </c>
      <c r="G43" s="385" t="s">
        <v>441</v>
      </c>
      <c r="H43" s="394">
        <v>1.0</v>
      </c>
      <c r="I43" s="385" t="s">
        <v>443</v>
      </c>
      <c r="J43" s="397" t="s">
        <v>605</v>
      </c>
      <c r="K43" s="400" t="s">
        <v>905</v>
      </c>
    </row>
    <row r="44">
      <c r="A44" s="378" t="s">
        <v>907</v>
      </c>
      <c r="B44" s="404">
        <v>6.0</v>
      </c>
      <c r="C44" s="378" t="s">
        <v>608</v>
      </c>
      <c r="D44" s="379" t="s">
        <v>10</v>
      </c>
      <c r="E44" s="378" t="s">
        <v>10</v>
      </c>
      <c r="F44" s="378" t="s">
        <v>10</v>
      </c>
      <c r="G44" s="378" t="s">
        <v>492</v>
      </c>
      <c r="H44" s="382">
        <v>1.0</v>
      </c>
      <c r="I44" s="378" t="s">
        <v>443</v>
      </c>
      <c r="J44" s="412" t="s">
        <v>494</v>
      </c>
      <c r="K44" s="378" t="s">
        <v>914</v>
      </c>
    </row>
    <row r="45">
      <c r="A45" s="400" t="s">
        <v>916</v>
      </c>
      <c r="B45" s="390">
        <v>7.0</v>
      </c>
      <c r="C45" s="400" t="s">
        <v>920</v>
      </c>
      <c r="D45" s="387" t="s">
        <v>10</v>
      </c>
      <c r="E45" s="400" t="s">
        <v>10</v>
      </c>
      <c r="F45" s="400" t="s">
        <v>10</v>
      </c>
      <c r="G45" s="400" t="s">
        <v>456</v>
      </c>
      <c r="H45" s="394">
        <v>1.0</v>
      </c>
      <c r="I45" s="400" t="s">
        <v>923</v>
      </c>
      <c r="J45" s="433" t="s">
        <v>925</v>
      </c>
      <c r="K45" s="400" t="s">
        <v>927</v>
      </c>
    </row>
    <row r="46">
      <c r="A46" s="378" t="s">
        <v>928</v>
      </c>
      <c r="B46" s="379">
        <v>8.0</v>
      </c>
      <c r="C46" s="378" t="s">
        <v>556</v>
      </c>
      <c r="D46" s="379">
        <v>3.0</v>
      </c>
      <c r="E46" s="378" t="s">
        <v>768</v>
      </c>
      <c r="F46" s="378" t="s">
        <v>657</v>
      </c>
      <c r="G46" s="378" t="s">
        <v>441</v>
      </c>
      <c r="H46" s="382" t="s">
        <v>483</v>
      </c>
      <c r="I46" s="378" t="s">
        <v>576</v>
      </c>
      <c r="J46" s="412" t="s">
        <v>930</v>
      </c>
      <c r="K46" s="427" t="s">
        <v>934</v>
      </c>
    </row>
    <row r="47">
      <c r="A47" s="385" t="s">
        <v>935</v>
      </c>
      <c r="B47" s="390">
        <v>8.0</v>
      </c>
      <c r="C47" s="385" t="s">
        <v>556</v>
      </c>
      <c r="D47" s="390">
        <v>4.0</v>
      </c>
      <c r="E47" s="385" t="s">
        <v>42</v>
      </c>
      <c r="F47" s="385" t="s">
        <v>657</v>
      </c>
      <c r="G47" s="385" t="s">
        <v>441</v>
      </c>
      <c r="H47" s="394" t="s">
        <v>483</v>
      </c>
      <c r="I47" s="385" t="s">
        <v>576</v>
      </c>
      <c r="J47" s="433" t="s">
        <v>868</v>
      </c>
      <c r="K47" s="400" t="s">
        <v>942</v>
      </c>
    </row>
    <row r="48">
      <c r="A48" s="378" t="s">
        <v>943</v>
      </c>
      <c r="B48" s="379">
        <v>9.0</v>
      </c>
      <c r="C48" s="378" t="s">
        <v>556</v>
      </c>
      <c r="D48" s="379" t="s">
        <v>10</v>
      </c>
      <c r="E48" s="378" t="s">
        <v>10</v>
      </c>
      <c r="F48" s="378" t="s">
        <v>10</v>
      </c>
      <c r="G48" s="378" t="s">
        <v>947</v>
      </c>
      <c r="H48" s="382" t="s">
        <v>10</v>
      </c>
      <c r="I48" s="378" t="s">
        <v>451</v>
      </c>
      <c r="J48" s="412" t="s">
        <v>10</v>
      </c>
      <c r="K48" s="427" t="s">
        <v>948</v>
      </c>
    </row>
    <row r="49">
      <c r="A49" s="444" t="s">
        <v>949</v>
      </c>
      <c r="B49" s="444">
        <v>10.0</v>
      </c>
      <c r="C49" s="444" t="s">
        <v>506</v>
      </c>
      <c r="D49" s="444">
        <v>4.0</v>
      </c>
      <c r="E49" s="447" t="s">
        <v>953</v>
      </c>
      <c r="F49" s="447" t="s">
        <v>657</v>
      </c>
      <c r="G49" s="444" t="s">
        <v>441</v>
      </c>
      <c r="H49" s="447" t="s">
        <v>483</v>
      </c>
      <c r="I49" s="447" t="s">
        <v>576</v>
      </c>
      <c r="J49" s="444" t="s">
        <v>956</v>
      </c>
      <c r="K49" s="447" t="s">
        <v>957</v>
      </c>
    </row>
  </sheetData>
  <mergeCells count="19">
    <mergeCell ref="A1:A2"/>
    <mergeCell ref="B1:B2"/>
    <mergeCell ref="C1:C2"/>
    <mergeCell ref="D1:D2"/>
    <mergeCell ref="E1:G1"/>
    <mergeCell ref="H1:J1"/>
    <mergeCell ref="K1:K2"/>
    <mergeCell ref="A24:F24"/>
    <mergeCell ref="G24:K24"/>
    <mergeCell ref="A35:K35"/>
    <mergeCell ref="A36:F36"/>
    <mergeCell ref="G36:K36"/>
    <mergeCell ref="A3:K3"/>
    <mergeCell ref="A8:K8"/>
    <mergeCell ref="A9:K9"/>
    <mergeCell ref="A10:K10"/>
    <mergeCell ref="A11:F11"/>
    <mergeCell ref="G11:K11"/>
    <mergeCell ref="A23:K23"/>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1" max="11" width="66.25"/>
  </cols>
  <sheetData>
    <row r="1">
      <c r="A1" s="109" t="s">
        <v>559</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87"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269" t="s">
        <v>624</v>
      </c>
      <c r="B8" s="37"/>
      <c r="C8" s="37"/>
      <c r="D8" s="37"/>
      <c r="E8" s="37"/>
      <c r="F8" s="37"/>
      <c r="G8" s="37"/>
      <c r="H8" s="37"/>
      <c r="I8" s="37"/>
      <c r="J8" s="37"/>
      <c r="K8" s="37"/>
    </row>
    <row r="9">
      <c r="A9" s="147"/>
    </row>
    <row r="10">
      <c r="A10" s="227" t="s">
        <v>64</v>
      </c>
      <c r="B10" s="149"/>
      <c r="C10" s="149"/>
      <c r="D10" s="149"/>
      <c r="E10" s="149"/>
      <c r="F10" s="149"/>
      <c r="G10" s="149"/>
      <c r="H10" s="149"/>
      <c r="I10" s="149"/>
      <c r="J10" s="149"/>
      <c r="K10" s="149"/>
    </row>
    <row r="11">
      <c r="A11" s="230" t="s">
        <v>644</v>
      </c>
      <c r="B11" s="7"/>
      <c r="C11" s="7"/>
      <c r="D11" s="7"/>
      <c r="E11" s="7"/>
      <c r="F11" s="7"/>
      <c r="G11" s="232" t="s">
        <v>648</v>
      </c>
      <c r="H11" s="7"/>
      <c r="I11" s="7"/>
      <c r="J11" s="7"/>
      <c r="K11" s="7"/>
    </row>
    <row r="12">
      <c r="A12" s="284" t="s">
        <v>651</v>
      </c>
      <c r="B12" s="286">
        <v>1.0</v>
      </c>
      <c r="C12" s="288" t="s">
        <v>479</v>
      </c>
      <c r="D12" s="286" t="s">
        <v>10</v>
      </c>
      <c r="E12" s="284" t="s">
        <v>10</v>
      </c>
      <c r="F12" s="288" t="s">
        <v>10</v>
      </c>
      <c r="G12" s="288" t="s">
        <v>479</v>
      </c>
      <c r="H12" s="289" t="s">
        <v>10</v>
      </c>
      <c r="I12" s="288" t="s">
        <v>10</v>
      </c>
      <c r="J12" s="292" t="s">
        <v>10</v>
      </c>
      <c r="K12" s="288" t="s">
        <v>673</v>
      </c>
    </row>
    <row r="13">
      <c r="A13" s="301" t="s">
        <v>678</v>
      </c>
      <c r="B13" s="302">
        <v>1.0</v>
      </c>
      <c r="C13" s="303" t="s">
        <v>435</v>
      </c>
      <c r="D13" s="304">
        <v>3.0</v>
      </c>
      <c r="E13" s="303" t="s">
        <v>691</v>
      </c>
      <c r="F13" s="301" t="s">
        <v>657</v>
      </c>
      <c r="G13" s="301" t="s">
        <v>441</v>
      </c>
      <c r="H13" s="305">
        <v>1.0</v>
      </c>
      <c r="I13" s="301" t="s">
        <v>443</v>
      </c>
      <c r="J13" s="306" t="s">
        <v>701</v>
      </c>
      <c r="K13" s="303" t="s">
        <v>707</v>
      </c>
    </row>
    <row r="14">
      <c r="A14" s="307" t="s">
        <v>708</v>
      </c>
      <c r="B14" s="308">
        <v>2.0</v>
      </c>
      <c r="C14" s="288" t="s">
        <v>435</v>
      </c>
      <c r="D14" s="308">
        <v>3.0</v>
      </c>
      <c r="E14" s="307" t="s">
        <v>601</v>
      </c>
      <c r="F14" s="307" t="s">
        <v>657</v>
      </c>
      <c r="G14" s="307" t="s">
        <v>441</v>
      </c>
      <c r="H14" s="309">
        <v>1.0</v>
      </c>
      <c r="I14" s="288" t="s">
        <v>443</v>
      </c>
      <c r="J14" s="292" t="s">
        <v>719</v>
      </c>
      <c r="K14" s="288" t="s">
        <v>721</v>
      </c>
    </row>
    <row r="15">
      <c r="A15" s="310" t="s">
        <v>722</v>
      </c>
      <c r="B15" s="302">
        <v>3.0</v>
      </c>
      <c r="C15" s="310" t="s">
        <v>572</v>
      </c>
      <c r="D15" s="302">
        <v>3.0</v>
      </c>
      <c r="E15" s="310" t="s">
        <v>724</v>
      </c>
      <c r="F15" s="310" t="s">
        <v>657</v>
      </c>
      <c r="G15" s="310" t="s">
        <v>441</v>
      </c>
      <c r="H15" s="305" t="s">
        <v>483</v>
      </c>
      <c r="I15" s="310" t="s">
        <v>576</v>
      </c>
      <c r="J15" s="311" t="s">
        <v>726</v>
      </c>
      <c r="K15" s="303" t="s">
        <v>729</v>
      </c>
    </row>
    <row r="16">
      <c r="A16" s="288" t="s">
        <v>65</v>
      </c>
      <c r="B16" s="286">
        <v>4.0</v>
      </c>
      <c r="C16" s="288" t="s">
        <v>556</v>
      </c>
      <c r="D16" s="286">
        <v>4.0</v>
      </c>
      <c r="E16" s="288" t="s">
        <v>732</v>
      </c>
      <c r="F16" s="288" t="s">
        <v>657</v>
      </c>
      <c r="G16" s="307" t="s">
        <v>441</v>
      </c>
      <c r="H16" s="309">
        <v>3.0</v>
      </c>
      <c r="I16" s="288" t="s">
        <v>576</v>
      </c>
      <c r="J16" s="315" t="s">
        <v>510</v>
      </c>
      <c r="K16" s="288" t="s">
        <v>735</v>
      </c>
    </row>
    <row r="17">
      <c r="A17" s="310" t="s">
        <v>736</v>
      </c>
      <c r="B17" s="318">
        <v>5.0</v>
      </c>
      <c r="C17" s="310" t="s">
        <v>572</v>
      </c>
      <c r="D17" s="318">
        <v>3.0</v>
      </c>
      <c r="E17" s="310" t="s">
        <v>737</v>
      </c>
      <c r="F17" s="310" t="s">
        <v>657</v>
      </c>
      <c r="G17" s="310" t="s">
        <v>441</v>
      </c>
      <c r="H17" s="305">
        <v>1.0</v>
      </c>
      <c r="I17" s="310" t="s">
        <v>443</v>
      </c>
      <c r="J17" s="311" t="s">
        <v>667</v>
      </c>
      <c r="K17" s="303" t="s">
        <v>741</v>
      </c>
    </row>
    <row r="18">
      <c r="A18" s="307" t="s">
        <v>742</v>
      </c>
      <c r="B18" s="308">
        <v>6.0</v>
      </c>
      <c r="C18" s="307" t="s">
        <v>608</v>
      </c>
      <c r="D18" s="308">
        <v>4.0</v>
      </c>
      <c r="E18" s="288" t="s">
        <v>745</v>
      </c>
      <c r="F18" s="307" t="s">
        <v>657</v>
      </c>
      <c r="G18" s="307" t="s">
        <v>441</v>
      </c>
      <c r="H18" s="309" t="s">
        <v>483</v>
      </c>
      <c r="I18" s="307" t="s">
        <v>576</v>
      </c>
      <c r="J18" s="328" t="s">
        <v>485</v>
      </c>
      <c r="K18" s="288" t="s">
        <v>750</v>
      </c>
    </row>
    <row r="19">
      <c r="A19" s="301" t="s">
        <v>752</v>
      </c>
      <c r="B19" s="302">
        <v>7.0</v>
      </c>
      <c r="C19" s="301" t="s">
        <v>506</v>
      </c>
      <c r="D19" s="302" t="s">
        <v>10</v>
      </c>
      <c r="E19" s="301" t="s">
        <v>10</v>
      </c>
      <c r="F19" s="303" t="s">
        <v>10</v>
      </c>
      <c r="G19" s="301" t="s">
        <v>492</v>
      </c>
      <c r="H19" s="305">
        <v>1.0</v>
      </c>
      <c r="I19" s="301" t="s">
        <v>451</v>
      </c>
      <c r="J19" s="306" t="s">
        <v>10</v>
      </c>
      <c r="K19" s="303" t="s">
        <v>756</v>
      </c>
    </row>
    <row r="20">
      <c r="A20" s="307" t="s">
        <v>758</v>
      </c>
      <c r="B20" s="308">
        <v>7.0</v>
      </c>
      <c r="C20" s="307" t="s">
        <v>506</v>
      </c>
      <c r="D20" s="308" t="s">
        <v>10</v>
      </c>
      <c r="E20" s="307" t="s">
        <v>10</v>
      </c>
      <c r="F20" s="307" t="s">
        <v>10</v>
      </c>
      <c r="G20" s="288" t="s">
        <v>462</v>
      </c>
      <c r="H20" s="309">
        <v>1.0</v>
      </c>
      <c r="I20" s="307" t="s">
        <v>443</v>
      </c>
      <c r="J20" s="328" t="s">
        <v>10</v>
      </c>
      <c r="K20" s="288" t="s">
        <v>762</v>
      </c>
    </row>
    <row r="21">
      <c r="A21" s="303" t="s">
        <v>765</v>
      </c>
      <c r="B21" s="302">
        <v>8.0</v>
      </c>
      <c r="C21" s="301" t="s">
        <v>556</v>
      </c>
      <c r="D21" s="302">
        <v>4.0</v>
      </c>
      <c r="E21" s="303" t="s">
        <v>768</v>
      </c>
      <c r="F21" s="301" t="s">
        <v>657</v>
      </c>
      <c r="G21" s="301" t="s">
        <v>441</v>
      </c>
      <c r="H21" s="305">
        <v>1.0</v>
      </c>
      <c r="I21" s="301" t="s">
        <v>443</v>
      </c>
      <c r="J21" s="340" t="s">
        <v>668</v>
      </c>
      <c r="K21" s="303" t="s">
        <v>769</v>
      </c>
    </row>
    <row r="22">
      <c r="A22" s="307" t="s">
        <v>770</v>
      </c>
      <c r="B22" s="308">
        <v>9.0</v>
      </c>
      <c r="C22" s="307" t="s">
        <v>556</v>
      </c>
      <c r="D22" s="308">
        <v>4.0</v>
      </c>
      <c r="E22" s="307" t="s">
        <v>771</v>
      </c>
      <c r="F22" s="307" t="s">
        <v>657</v>
      </c>
      <c r="G22" s="288" t="s">
        <v>441</v>
      </c>
      <c r="H22" s="309">
        <v>1.0</v>
      </c>
      <c r="I22" s="307" t="s">
        <v>443</v>
      </c>
      <c r="J22" s="328" t="s">
        <v>544</v>
      </c>
      <c r="K22" s="288" t="s">
        <v>773</v>
      </c>
    </row>
    <row r="23">
      <c r="A23" s="303" t="s">
        <v>774</v>
      </c>
      <c r="B23" s="302">
        <v>10.0</v>
      </c>
      <c r="C23" s="301" t="s">
        <v>506</v>
      </c>
      <c r="D23" s="304">
        <v>5.0</v>
      </c>
      <c r="E23" s="301" t="s">
        <v>775</v>
      </c>
      <c r="F23" s="301" t="s">
        <v>657</v>
      </c>
      <c r="G23" s="301" t="s">
        <v>441</v>
      </c>
      <c r="H23" s="305">
        <v>1.0</v>
      </c>
      <c r="I23" s="301" t="s">
        <v>443</v>
      </c>
      <c r="J23" s="340" t="s">
        <v>544</v>
      </c>
      <c r="K23" s="303" t="s">
        <v>776</v>
      </c>
    </row>
    <row r="24">
      <c r="A24" s="227" t="s">
        <v>777</v>
      </c>
      <c r="B24" s="149"/>
      <c r="C24" s="149"/>
      <c r="D24" s="149"/>
      <c r="E24" s="149"/>
      <c r="F24" s="149"/>
      <c r="G24" s="149"/>
      <c r="H24" s="149"/>
      <c r="I24" s="149"/>
      <c r="J24" s="149"/>
      <c r="K24" s="149"/>
    </row>
    <row r="25">
      <c r="A25" s="230" t="s">
        <v>780</v>
      </c>
      <c r="B25" s="7"/>
      <c r="C25" s="7"/>
      <c r="D25" s="7"/>
      <c r="E25" s="7"/>
      <c r="F25" s="7"/>
      <c r="G25" s="232" t="s">
        <v>783</v>
      </c>
      <c r="H25" s="7"/>
      <c r="I25" s="7"/>
      <c r="J25" s="7"/>
      <c r="K25" s="7"/>
    </row>
    <row r="26">
      <c r="A26" s="347" t="s">
        <v>784</v>
      </c>
      <c r="B26" s="349">
        <v>1.0</v>
      </c>
      <c r="C26" s="347" t="s">
        <v>479</v>
      </c>
      <c r="D26" s="349" t="s">
        <v>10</v>
      </c>
      <c r="E26" s="347" t="s">
        <v>10</v>
      </c>
      <c r="F26" s="347" t="s">
        <v>10</v>
      </c>
      <c r="G26" s="350" t="s">
        <v>479</v>
      </c>
      <c r="H26" s="352" t="s">
        <v>10</v>
      </c>
      <c r="I26" s="350" t="s">
        <v>10</v>
      </c>
      <c r="J26" s="353" t="s">
        <v>10</v>
      </c>
      <c r="K26" s="354" t="s">
        <v>796</v>
      </c>
    </row>
    <row r="27">
      <c r="A27" s="355" t="s">
        <v>798</v>
      </c>
      <c r="B27" s="358">
        <v>1.0</v>
      </c>
      <c r="C27" s="359" t="s">
        <v>435</v>
      </c>
      <c r="D27" s="358">
        <v>2.0</v>
      </c>
      <c r="E27" s="359" t="s">
        <v>761</v>
      </c>
      <c r="F27" s="355" t="s">
        <v>657</v>
      </c>
      <c r="G27" s="355" t="s">
        <v>441</v>
      </c>
      <c r="H27" s="363">
        <v>1.0</v>
      </c>
      <c r="I27" s="355" t="s">
        <v>443</v>
      </c>
      <c r="J27" s="366" t="s">
        <v>605</v>
      </c>
      <c r="K27" s="368" t="s">
        <v>811</v>
      </c>
    </row>
    <row r="28">
      <c r="A28" s="347" t="s">
        <v>812</v>
      </c>
      <c r="B28" s="349">
        <v>2.0</v>
      </c>
      <c r="C28" s="350" t="s">
        <v>435</v>
      </c>
      <c r="D28" s="349">
        <v>4.0</v>
      </c>
      <c r="E28" s="350" t="s">
        <v>817</v>
      </c>
      <c r="F28" s="347" t="s">
        <v>657</v>
      </c>
      <c r="G28" s="347" t="s">
        <v>441</v>
      </c>
      <c r="H28" s="352">
        <v>1.0</v>
      </c>
      <c r="I28" s="350" t="s">
        <v>443</v>
      </c>
      <c r="J28" s="353" t="s">
        <v>588</v>
      </c>
      <c r="K28" s="354" t="s">
        <v>820</v>
      </c>
    </row>
    <row r="29">
      <c r="A29" s="355" t="s">
        <v>822</v>
      </c>
      <c r="B29" s="358">
        <v>3.0</v>
      </c>
      <c r="C29" s="359" t="s">
        <v>556</v>
      </c>
      <c r="D29" s="358" t="s">
        <v>10</v>
      </c>
      <c r="E29" s="355" t="s">
        <v>10</v>
      </c>
      <c r="F29" s="355" t="s">
        <v>10</v>
      </c>
      <c r="G29" s="355" t="s">
        <v>565</v>
      </c>
      <c r="H29" s="363">
        <v>1.0</v>
      </c>
      <c r="I29" s="355" t="s">
        <v>451</v>
      </c>
      <c r="J29" s="366" t="s">
        <v>10</v>
      </c>
      <c r="K29" s="368" t="s">
        <v>824</v>
      </c>
    </row>
    <row r="30">
      <c r="A30" s="347" t="s">
        <v>825</v>
      </c>
      <c r="B30" s="349">
        <v>3.0</v>
      </c>
      <c r="C30" s="347" t="s">
        <v>435</v>
      </c>
      <c r="D30" s="349" t="s">
        <v>10</v>
      </c>
      <c r="E30" s="347" t="s">
        <v>10</v>
      </c>
      <c r="F30" s="347" t="s">
        <v>10</v>
      </c>
      <c r="G30" s="347" t="s">
        <v>565</v>
      </c>
      <c r="H30" s="352">
        <v>1.0</v>
      </c>
      <c r="I30" s="350" t="s">
        <v>451</v>
      </c>
      <c r="J30" s="353" t="s">
        <v>10</v>
      </c>
      <c r="K30" s="354" t="s">
        <v>827</v>
      </c>
    </row>
    <row r="31">
      <c r="A31" s="355" t="s">
        <v>828</v>
      </c>
      <c r="B31" s="358">
        <v>4.0</v>
      </c>
      <c r="C31" s="359" t="s">
        <v>608</v>
      </c>
      <c r="D31" s="358">
        <v>3.0</v>
      </c>
      <c r="E31" s="359" t="s">
        <v>830</v>
      </c>
      <c r="F31" s="355" t="s">
        <v>657</v>
      </c>
      <c r="G31" s="355" t="s">
        <v>441</v>
      </c>
      <c r="H31" s="363">
        <v>1.0</v>
      </c>
      <c r="I31" s="355" t="s">
        <v>443</v>
      </c>
      <c r="J31" s="366" t="s">
        <v>588</v>
      </c>
      <c r="K31" s="368" t="s">
        <v>832</v>
      </c>
    </row>
    <row r="32">
      <c r="A32" s="347" t="s">
        <v>833</v>
      </c>
      <c r="B32" s="349">
        <v>5.0</v>
      </c>
      <c r="C32" s="347" t="s">
        <v>572</v>
      </c>
      <c r="D32" s="349">
        <v>3.0</v>
      </c>
      <c r="E32" s="350" t="s">
        <v>771</v>
      </c>
      <c r="F32" s="347" t="s">
        <v>657</v>
      </c>
      <c r="G32" s="347" t="s">
        <v>441</v>
      </c>
      <c r="H32" s="352">
        <v>2.0</v>
      </c>
      <c r="I32" s="350" t="s">
        <v>576</v>
      </c>
      <c r="J32" s="353" t="s">
        <v>835</v>
      </c>
      <c r="K32" s="354" t="s">
        <v>836</v>
      </c>
    </row>
    <row r="33">
      <c r="A33" s="355" t="s">
        <v>837</v>
      </c>
      <c r="B33" s="358">
        <v>6.0</v>
      </c>
      <c r="C33" s="359" t="s">
        <v>556</v>
      </c>
      <c r="D33" s="358" t="s">
        <v>10</v>
      </c>
      <c r="E33" s="355" t="s">
        <v>10</v>
      </c>
      <c r="F33" s="355" t="s">
        <v>10</v>
      </c>
      <c r="G33" s="355" t="s">
        <v>507</v>
      </c>
      <c r="H33" s="363">
        <v>1.0</v>
      </c>
      <c r="I33" s="355" t="s">
        <v>451</v>
      </c>
      <c r="J33" s="366" t="s">
        <v>10</v>
      </c>
      <c r="K33" s="377" t="s">
        <v>839</v>
      </c>
    </row>
    <row r="34">
      <c r="A34" s="347" t="s">
        <v>841</v>
      </c>
      <c r="B34" s="349">
        <v>7.0</v>
      </c>
      <c r="C34" s="347" t="s">
        <v>556</v>
      </c>
      <c r="D34" s="349">
        <v>5.0</v>
      </c>
      <c r="E34" s="350" t="s">
        <v>842</v>
      </c>
      <c r="F34" s="347" t="s">
        <v>657</v>
      </c>
      <c r="G34" s="347" t="s">
        <v>450</v>
      </c>
      <c r="H34" s="352" t="s">
        <v>483</v>
      </c>
      <c r="I34" s="350" t="s">
        <v>576</v>
      </c>
      <c r="J34" s="353" t="s">
        <v>726</v>
      </c>
      <c r="K34" s="381" t="s">
        <v>843</v>
      </c>
    </row>
    <row r="35">
      <c r="A35" s="355" t="s">
        <v>844</v>
      </c>
      <c r="B35" s="358">
        <v>8.0</v>
      </c>
      <c r="C35" s="359" t="s">
        <v>491</v>
      </c>
      <c r="D35" s="358">
        <v>4.0</v>
      </c>
      <c r="E35" s="355" t="s">
        <v>846</v>
      </c>
      <c r="F35" s="355" t="s">
        <v>657</v>
      </c>
      <c r="G35" s="355" t="s">
        <v>441</v>
      </c>
      <c r="H35" s="363">
        <v>1.0</v>
      </c>
      <c r="I35" s="355" t="s">
        <v>443</v>
      </c>
      <c r="J35" s="366" t="s">
        <v>588</v>
      </c>
      <c r="K35" s="377" t="s">
        <v>848</v>
      </c>
    </row>
    <row r="36">
      <c r="A36" s="347" t="s">
        <v>849</v>
      </c>
      <c r="B36" s="349">
        <v>9.0</v>
      </c>
      <c r="C36" s="347" t="s">
        <v>506</v>
      </c>
      <c r="D36" s="349">
        <v>4.0</v>
      </c>
      <c r="E36" s="350" t="s">
        <v>850</v>
      </c>
      <c r="F36" s="347" t="s">
        <v>657</v>
      </c>
      <c r="G36" s="347" t="s">
        <v>441</v>
      </c>
      <c r="H36" s="352">
        <v>1.0</v>
      </c>
      <c r="I36" s="350" t="s">
        <v>443</v>
      </c>
      <c r="J36" s="353" t="s">
        <v>851</v>
      </c>
      <c r="K36" s="381" t="s">
        <v>852</v>
      </c>
    </row>
    <row r="37">
      <c r="A37" s="355" t="s">
        <v>853</v>
      </c>
      <c r="B37" s="358">
        <v>10.0</v>
      </c>
      <c r="C37" s="359" t="s">
        <v>506</v>
      </c>
      <c r="D37" s="358">
        <v>4.0</v>
      </c>
      <c r="E37" s="359" t="s">
        <v>854</v>
      </c>
      <c r="F37" s="355" t="s">
        <v>657</v>
      </c>
      <c r="G37" s="355" t="s">
        <v>441</v>
      </c>
      <c r="H37" s="363">
        <v>1.0</v>
      </c>
      <c r="I37" s="355" t="s">
        <v>443</v>
      </c>
      <c r="J37" s="366" t="s">
        <v>445</v>
      </c>
      <c r="K37" s="368" t="s">
        <v>855</v>
      </c>
    </row>
    <row r="38">
      <c r="A38" s="227" t="s">
        <v>856</v>
      </c>
      <c r="B38" s="149"/>
      <c r="C38" s="149"/>
      <c r="D38" s="149"/>
      <c r="E38" s="149"/>
      <c r="F38" s="149"/>
      <c r="G38" s="149"/>
      <c r="H38" s="149"/>
      <c r="I38" s="149"/>
      <c r="J38" s="149"/>
      <c r="K38" s="149"/>
    </row>
    <row r="39">
      <c r="A39" s="230" t="s">
        <v>857</v>
      </c>
      <c r="B39" s="7"/>
      <c r="C39" s="7"/>
      <c r="D39" s="7"/>
      <c r="E39" s="7"/>
      <c r="F39" s="7"/>
      <c r="G39" s="232" t="s">
        <v>860</v>
      </c>
      <c r="H39" s="7"/>
      <c r="I39" s="7"/>
      <c r="J39" s="7"/>
      <c r="K39" s="7"/>
    </row>
    <row r="40">
      <c r="A40" s="386" t="s">
        <v>861</v>
      </c>
      <c r="B40" s="388">
        <v>1.0</v>
      </c>
      <c r="C40" s="389" t="s">
        <v>435</v>
      </c>
      <c r="D40" s="388">
        <v>2.0</v>
      </c>
      <c r="E40" s="386" t="s">
        <v>42</v>
      </c>
      <c r="F40" s="386" t="s">
        <v>657</v>
      </c>
      <c r="G40" s="386" t="s">
        <v>441</v>
      </c>
      <c r="H40" s="391">
        <v>1.0</v>
      </c>
      <c r="I40" s="386" t="s">
        <v>443</v>
      </c>
      <c r="J40" s="393" t="s">
        <v>588</v>
      </c>
      <c r="K40" s="389" t="s">
        <v>866</v>
      </c>
    </row>
    <row r="41">
      <c r="A41" s="396" t="s">
        <v>867</v>
      </c>
      <c r="B41" s="398">
        <v>2.0</v>
      </c>
      <c r="C41" s="396" t="s">
        <v>572</v>
      </c>
      <c r="D41" s="398">
        <v>3.0</v>
      </c>
      <c r="E41" s="396" t="s">
        <v>724</v>
      </c>
      <c r="F41" s="396" t="s">
        <v>657</v>
      </c>
      <c r="G41" s="396" t="s">
        <v>441</v>
      </c>
      <c r="H41" s="402" t="s">
        <v>483</v>
      </c>
      <c r="I41" s="405" t="s">
        <v>576</v>
      </c>
      <c r="J41" s="407" t="s">
        <v>873</v>
      </c>
      <c r="K41" s="405" t="s">
        <v>874</v>
      </c>
    </row>
    <row r="42">
      <c r="A42" s="409" t="s">
        <v>875</v>
      </c>
      <c r="B42" s="411">
        <v>3.0</v>
      </c>
      <c r="C42" s="409" t="s">
        <v>572</v>
      </c>
      <c r="D42" s="411">
        <v>3.0</v>
      </c>
      <c r="E42" s="389" t="s">
        <v>876</v>
      </c>
      <c r="F42" s="409" t="s">
        <v>657</v>
      </c>
      <c r="G42" s="409" t="s">
        <v>441</v>
      </c>
      <c r="H42" s="391">
        <v>1.0</v>
      </c>
      <c r="I42" s="409" t="s">
        <v>443</v>
      </c>
      <c r="J42" s="415" t="s">
        <v>544</v>
      </c>
      <c r="K42" s="389" t="s">
        <v>880</v>
      </c>
    </row>
    <row r="43">
      <c r="A43" s="417" t="s">
        <v>882</v>
      </c>
      <c r="B43" s="419">
        <v>4.0</v>
      </c>
      <c r="C43" s="417" t="s">
        <v>884</v>
      </c>
      <c r="D43" s="420" t="s">
        <v>10</v>
      </c>
      <c r="E43" s="417" t="s">
        <v>10</v>
      </c>
      <c r="F43" s="405" t="s">
        <v>10</v>
      </c>
      <c r="G43" s="405" t="s">
        <v>441</v>
      </c>
      <c r="H43" s="402" t="s">
        <v>483</v>
      </c>
      <c r="I43" s="417" t="s">
        <v>885</v>
      </c>
      <c r="J43" s="423" t="s">
        <v>510</v>
      </c>
      <c r="K43" s="405" t="s">
        <v>890</v>
      </c>
    </row>
    <row r="44">
      <c r="A44" s="409" t="s">
        <v>891</v>
      </c>
      <c r="B44" s="411">
        <v>5.0</v>
      </c>
      <c r="C44" s="389" t="s">
        <v>556</v>
      </c>
      <c r="D44" s="425">
        <v>3.0</v>
      </c>
      <c r="E44" s="409" t="s">
        <v>893</v>
      </c>
      <c r="F44" s="409" t="s">
        <v>657</v>
      </c>
      <c r="G44" s="409" t="s">
        <v>441</v>
      </c>
      <c r="H44" s="391">
        <v>1.0</v>
      </c>
      <c r="I44" s="409" t="s">
        <v>443</v>
      </c>
      <c r="J44" s="428" t="s">
        <v>494</v>
      </c>
      <c r="K44" s="389" t="s">
        <v>898</v>
      </c>
    </row>
    <row r="45">
      <c r="A45" s="405" t="s">
        <v>899</v>
      </c>
      <c r="B45" s="420">
        <v>6.0</v>
      </c>
      <c r="C45" s="405" t="s">
        <v>536</v>
      </c>
      <c r="D45" s="420">
        <v>3.0</v>
      </c>
      <c r="E45" s="405" t="s">
        <v>772</v>
      </c>
      <c r="F45" s="405" t="s">
        <v>657</v>
      </c>
      <c r="G45" s="405" t="s">
        <v>441</v>
      </c>
      <c r="H45" s="402">
        <v>1.0</v>
      </c>
      <c r="I45" s="405" t="s">
        <v>443</v>
      </c>
      <c r="J45" s="407" t="s">
        <v>494</v>
      </c>
      <c r="K45" s="405" t="s">
        <v>901</v>
      </c>
    </row>
    <row r="46">
      <c r="A46" s="409" t="s">
        <v>903</v>
      </c>
      <c r="B46" s="411">
        <v>7.0</v>
      </c>
      <c r="C46" s="409" t="s">
        <v>556</v>
      </c>
      <c r="D46" s="411">
        <v>4.0</v>
      </c>
      <c r="E46" s="389" t="s">
        <v>906</v>
      </c>
      <c r="F46" s="409" t="s">
        <v>657</v>
      </c>
      <c r="G46" s="409" t="s">
        <v>441</v>
      </c>
      <c r="H46" s="391">
        <v>1.0</v>
      </c>
      <c r="I46" s="409" t="s">
        <v>443</v>
      </c>
      <c r="J46" s="428" t="s">
        <v>494</v>
      </c>
      <c r="K46" s="389" t="s">
        <v>908</v>
      </c>
    </row>
    <row r="47">
      <c r="A47" s="417" t="s">
        <v>909</v>
      </c>
      <c r="B47" s="419">
        <v>8.0</v>
      </c>
      <c r="C47" s="417" t="s">
        <v>506</v>
      </c>
      <c r="D47" s="419">
        <v>4.0</v>
      </c>
      <c r="E47" s="405" t="s">
        <v>910</v>
      </c>
      <c r="F47" s="417" t="s">
        <v>657</v>
      </c>
      <c r="G47" s="417" t="s">
        <v>441</v>
      </c>
      <c r="H47" s="402">
        <v>1.0</v>
      </c>
      <c r="I47" s="417" t="s">
        <v>443</v>
      </c>
      <c r="J47" s="423" t="s">
        <v>588</v>
      </c>
      <c r="K47" s="405" t="s">
        <v>913</v>
      </c>
    </row>
    <row r="48">
      <c r="A48" s="389" t="s">
        <v>915</v>
      </c>
      <c r="B48" s="411">
        <v>9.0</v>
      </c>
      <c r="C48" s="389" t="s">
        <v>556</v>
      </c>
      <c r="D48" s="411">
        <v>4.0</v>
      </c>
      <c r="E48" s="389" t="s">
        <v>919</v>
      </c>
      <c r="F48" s="409" t="s">
        <v>657</v>
      </c>
      <c r="G48" s="409" t="s">
        <v>441</v>
      </c>
      <c r="H48" s="391" t="s">
        <v>483</v>
      </c>
      <c r="I48" s="389" t="s">
        <v>576</v>
      </c>
      <c r="J48" s="415" t="s">
        <v>726</v>
      </c>
      <c r="K48" s="389" t="s">
        <v>921</v>
      </c>
    </row>
    <row r="49">
      <c r="A49" s="432" t="s">
        <v>922</v>
      </c>
      <c r="B49" s="434">
        <v>10.0</v>
      </c>
      <c r="C49" s="432" t="s">
        <v>506</v>
      </c>
      <c r="D49" s="434" t="s">
        <v>10</v>
      </c>
      <c r="E49" s="432" t="s">
        <v>929</v>
      </c>
      <c r="F49" s="432" t="s">
        <v>657</v>
      </c>
      <c r="G49" s="432" t="s">
        <v>441</v>
      </c>
      <c r="H49" s="436">
        <v>1.0</v>
      </c>
      <c r="I49" s="432" t="s">
        <v>443</v>
      </c>
      <c r="J49" s="438" t="s">
        <v>445</v>
      </c>
      <c r="K49" s="439" t="s">
        <v>933</v>
      </c>
    </row>
  </sheetData>
  <mergeCells count="19">
    <mergeCell ref="A1:A2"/>
    <mergeCell ref="B1:B2"/>
    <mergeCell ref="C1:C2"/>
    <mergeCell ref="D1:D2"/>
    <mergeCell ref="E1:G1"/>
    <mergeCell ref="H1:J1"/>
    <mergeCell ref="K1:K2"/>
    <mergeCell ref="A25:F25"/>
    <mergeCell ref="G25:K25"/>
    <mergeCell ref="A38:K38"/>
    <mergeCell ref="A39:F39"/>
    <mergeCell ref="G39:K39"/>
    <mergeCell ref="A3:K3"/>
    <mergeCell ref="A8:K8"/>
    <mergeCell ref="A9:K9"/>
    <mergeCell ref="A10:K10"/>
    <mergeCell ref="A11:F11"/>
    <mergeCell ref="G11:K11"/>
    <mergeCell ref="A24:K24"/>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D0F0E"/>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87"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373" t="s">
        <v>829</v>
      </c>
      <c r="B8" s="37"/>
      <c r="C8" s="37"/>
      <c r="D8" s="37"/>
      <c r="E8" s="37"/>
      <c r="F8" s="37"/>
      <c r="G8" s="37"/>
      <c r="H8" s="37"/>
      <c r="I8" s="37"/>
      <c r="J8" s="37"/>
      <c r="K8" s="37"/>
    </row>
    <row r="9">
      <c r="A9" s="380"/>
    </row>
    <row r="10">
      <c r="A10" s="384" t="s">
        <v>845</v>
      </c>
      <c r="B10" s="149"/>
      <c r="C10" s="149"/>
      <c r="D10" s="149"/>
      <c r="E10" s="149"/>
      <c r="F10" s="149"/>
      <c r="G10" s="149"/>
      <c r="H10" s="149"/>
      <c r="I10" s="149"/>
      <c r="J10" s="149"/>
      <c r="K10" s="149"/>
    </row>
    <row r="11">
      <c r="A11" s="150" t="s">
        <v>862</v>
      </c>
      <c r="B11" s="7"/>
      <c r="C11" s="7"/>
      <c r="D11" s="7"/>
      <c r="E11" s="7"/>
      <c r="F11" s="7"/>
      <c r="G11" s="152" t="s">
        <v>863</v>
      </c>
      <c r="H11" s="7"/>
      <c r="I11" s="7"/>
      <c r="J11" s="7"/>
      <c r="K11" s="7"/>
    </row>
    <row r="12">
      <c r="A12" s="392" t="s">
        <v>865</v>
      </c>
      <c r="B12" s="395">
        <v>1.0</v>
      </c>
      <c r="C12" s="392" t="s">
        <v>479</v>
      </c>
      <c r="D12" s="395" t="s">
        <v>10</v>
      </c>
      <c r="E12" s="392" t="s">
        <v>10</v>
      </c>
      <c r="F12" s="399" t="s">
        <v>10</v>
      </c>
      <c r="G12" s="399" t="s">
        <v>479</v>
      </c>
      <c r="H12" s="401" t="s">
        <v>10</v>
      </c>
      <c r="I12" s="399" t="s">
        <v>10</v>
      </c>
      <c r="J12" s="403" t="s">
        <v>10</v>
      </c>
      <c r="K12" s="399" t="s">
        <v>871</v>
      </c>
    </row>
    <row r="13">
      <c r="A13" s="406" t="s">
        <v>872</v>
      </c>
      <c r="B13" s="408">
        <v>1.0</v>
      </c>
      <c r="C13" s="410" t="s">
        <v>435</v>
      </c>
      <c r="D13" s="408">
        <v>2.0</v>
      </c>
      <c r="E13" s="406" t="s">
        <v>42</v>
      </c>
      <c r="F13" s="406" t="s">
        <v>657</v>
      </c>
      <c r="G13" s="406" t="s">
        <v>441</v>
      </c>
      <c r="H13" s="413">
        <v>1.0</v>
      </c>
      <c r="I13" s="406" t="s">
        <v>443</v>
      </c>
      <c r="J13" s="414" t="s">
        <v>494</v>
      </c>
      <c r="K13" s="410" t="s">
        <v>879</v>
      </c>
    </row>
    <row r="14">
      <c r="A14" s="416" t="s">
        <v>881</v>
      </c>
      <c r="B14" s="418">
        <v>2.0</v>
      </c>
      <c r="C14" s="399" t="s">
        <v>608</v>
      </c>
      <c r="D14" s="418">
        <v>4.0</v>
      </c>
      <c r="E14" s="416" t="s">
        <v>883</v>
      </c>
      <c r="F14" s="416" t="s">
        <v>657</v>
      </c>
      <c r="G14" s="416" t="s">
        <v>441</v>
      </c>
      <c r="H14" s="421" t="s">
        <v>483</v>
      </c>
      <c r="I14" s="399" t="s">
        <v>576</v>
      </c>
      <c r="J14" s="422" t="s">
        <v>819</v>
      </c>
      <c r="K14" s="399" t="s">
        <v>888</v>
      </c>
    </row>
    <row r="15">
      <c r="A15" s="424" t="s">
        <v>889</v>
      </c>
      <c r="B15" s="408">
        <v>3.0</v>
      </c>
      <c r="C15" s="424" t="s">
        <v>608</v>
      </c>
      <c r="D15" s="408">
        <v>3.0</v>
      </c>
      <c r="E15" s="424" t="s">
        <v>686</v>
      </c>
      <c r="F15" s="424" t="s">
        <v>657</v>
      </c>
      <c r="G15" s="424" t="s">
        <v>441</v>
      </c>
      <c r="H15" s="413">
        <v>1.0</v>
      </c>
      <c r="I15" s="424" t="s">
        <v>443</v>
      </c>
      <c r="J15" s="426" t="s">
        <v>445</v>
      </c>
      <c r="K15" s="410" t="s">
        <v>895</v>
      </c>
    </row>
    <row r="16">
      <c r="A16" s="392" t="s">
        <v>897</v>
      </c>
      <c r="B16" s="395">
        <v>4.0</v>
      </c>
      <c r="C16" s="392" t="s">
        <v>572</v>
      </c>
      <c r="D16" s="395">
        <v>4.0</v>
      </c>
      <c r="E16" s="392" t="s">
        <v>900</v>
      </c>
      <c r="F16" s="416" t="s">
        <v>657</v>
      </c>
      <c r="G16" s="416" t="s">
        <v>441</v>
      </c>
      <c r="H16" s="421" t="s">
        <v>483</v>
      </c>
      <c r="I16" s="392" t="s">
        <v>576</v>
      </c>
      <c r="J16" s="403" t="s">
        <v>485</v>
      </c>
      <c r="K16" s="399" t="s">
        <v>902</v>
      </c>
    </row>
    <row r="17">
      <c r="A17" s="406" t="s">
        <v>904</v>
      </c>
      <c r="B17" s="429">
        <v>5.0</v>
      </c>
      <c r="C17" s="406" t="s">
        <v>506</v>
      </c>
      <c r="D17" s="408" t="s">
        <v>10</v>
      </c>
      <c r="E17" s="406" t="s">
        <v>10</v>
      </c>
      <c r="F17" s="410" t="s">
        <v>10</v>
      </c>
      <c r="G17" s="410" t="s">
        <v>492</v>
      </c>
      <c r="H17" s="413">
        <v>1.0</v>
      </c>
      <c r="I17" s="406" t="s">
        <v>451</v>
      </c>
      <c r="J17" s="414" t="s">
        <v>10</v>
      </c>
      <c r="K17" s="410" t="s">
        <v>911</v>
      </c>
    </row>
    <row r="18">
      <c r="A18" s="416" t="s">
        <v>912</v>
      </c>
      <c r="B18" s="430">
        <v>6.0</v>
      </c>
      <c r="C18" s="416" t="s">
        <v>608</v>
      </c>
      <c r="D18" s="418">
        <v>3.0</v>
      </c>
      <c r="E18" s="416" t="s">
        <v>918</v>
      </c>
      <c r="F18" s="416" t="s">
        <v>657</v>
      </c>
      <c r="G18" s="416" t="s">
        <v>441</v>
      </c>
      <c r="H18" s="421">
        <v>1.0</v>
      </c>
      <c r="I18" s="416" t="s">
        <v>443</v>
      </c>
      <c r="J18" s="431" t="s">
        <v>445</v>
      </c>
      <c r="K18" s="399" t="s">
        <v>924</v>
      </c>
    </row>
    <row r="19">
      <c r="A19" s="424" t="s">
        <v>926</v>
      </c>
      <c r="B19" s="429">
        <v>7.0</v>
      </c>
      <c r="C19" s="424" t="s">
        <v>479</v>
      </c>
      <c r="D19" s="435" t="s">
        <v>10</v>
      </c>
      <c r="E19" s="424" t="s">
        <v>10</v>
      </c>
      <c r="F19" s="410" t="s">
        <v>10</v>
      </c>
      <c r="G19" s="410" t="s">
        <v>479</v>
      </c>
      <c r="H19" s="437" t="s">
        <v>10</v>
      </c>
      <c r="I19" s="424" t="s">
        <v>10</v>
      </c>
      <c r="J19" s="426" t="s">
        <v>10</v>
      </c>
      <c r="K19" s="410" t="s">
        <v>931</v>
      </c>
    </row>
    <row r="20">
      <c r="A20" s="416" t="s">
        <v>932</v>
      </c>
      <c r="B20" s="430">
        <v>8.0</v>
      </c>
      <c r="C20" s="416" t="s">
        <v>506</v>
      </c>
      <c r="D20" s="418">
        <v>4.0</v>
      </c>
      <c r="E20" s="416" t="s">
        <v>627</v>
      </c>
      <c r="F20" s="416" t="s">
        <v>657</v>
      </c>
      <c r="G20" s="416" t="s">
        <v>441</v>
      </c>
      <c r="H20" s="421">
        <v>1.0</v>
      </c>
      <c r="I20" s="416" t="s">
        <v>443</v>
      </c>
      <c r="J20" s="431" t="s">
        <v>445</v>
      </c>
      <c r="K20" s="399" t="s">
        <v>936</v>
      </c>
    </row>
    <row r="21">
      <c r="A21" s="406" t="s">
        <v>937</v>
      </c>
      <c r="B21" s="429">
        <v>9.0</v>
      </c>
      <c r="C21" s="410" t="s">
        <v>506</v>
      </c>
      <c r="D21" s="408">
        <v>4.0</v>
      </c>
      <c r="E21" s="406" t="s">
        <v>709</v>
      </c>
      <c r="F21" s="406" t="s">
        <v>657</v>
      </c>
      <c r="G21" s="406" t="s">
        <v>441</v>
      </c>
      <c r="H21" s="413">
        <v>1.0</v>
      </c>
      <c r="I21" s="406" t="s">
        <v>443</v>
      </c>
      <c r="J21" s="414" t="s">
        <v>494</v>
      </c>
      <c r="K21" s="410" t="s">
        <v>940</v>
      </c>
    </row>
    <row r="22">
      <c r="A22" s="416" t="s">
        <v>941</v>
      </c>
      <c r="B22" s="418">
        <v>10.0</v>
      </c>
      <c r="C22" s="416" t="s">
        <v>506</v>
      </c>
      <c r="D22" s="418">
        <v>4.0</v>
      </c>
      <c r="E22" s="399" t="s">
        <v>601</v>
      </c>
      <c r="F22" s="416" t="s">
        <v>657</v>
      </c>
      <c r="G22" s="416" t="s">
        <v>441</v>
      </c>
      <c r="H22" s="421">
        <v>1.0</v>
      </c>
      <c r="I22" s="416" t="s">
        <v>443</v>
      </c>
      <c r="J22" s="431" t="s">
        <v>494</v>
      </c>
      <c r="K22" s="399" t="s">
        <v>945</v>
      </c>
    </row>
    <row r="23">
      <c r="A23" s="384" t="s">
        <v>946</v>
      </c>
      <c r="B23" s="149"/>
      <c r="C23" s="149"/>
      <c r="D23" s="149"/>
      <c r="E23" s="149"/>
      <c r="F23" s="149"/>
      <c r="G23" s="149"/>
      <c r="H23" s="149"/>
      <c r="I23" s="149"/>
      <c r="J23" s="149"/>
      <c r="K23" s="149"/>
    </row>
    <row r="24">
      <c r="A24" s="150" t="s">
        <v>950</v>
      </c>
      <c r="B24" s="7"/>
      <c r="C24" s="7"/>
      <c r="D24" s="7"/>
      <c r="E24" s="7"/>
      <c r="F24" s="7"/>
      <c r="G24" s="152" t="s">
        <v>951</v>
      </c>
      <c r="H24" s="7"/>
      <c r="I24" s="7"/>
      <c r="J24" s="7"/>
      <c r="K24" s="7"/>
    </row>
    <row r="25">
      <c r="A25" s="449" t="s">
        <v>955</v>
      </c>
      <c r="B25" s="451">
        <v>1.0</v>
      </c>
      <c r="C25" s="449" t="s">
        <v>479</v>
      </c>
      <c r="D25" s="451" t="s">
        <v>10</v>
      </c>
      <c r="E25" s="449" t="s">
        <v>10</v>
      </c>
      <c r="F25" s="449" t="s">
        <v>10</v>
      </c>
      <c r="G25" s="449" t="s">
        <v>479</v>
      </c>
      <c r="H25" s="453" t="s">
        <v>10</v>
      </c>
      <c r="I25" s="449" t="s">
        <v>10</v>
      </c>
      <c r="J25" s="455" t="s">
        <v>10</v>
      </c>
      <c r="K25" s="457" t="s">
        <v>959</v>
      </c>
    </row>
    <row r="26">
      <c r="A26" s="459" t="s">
        <v>961</v>
      </c>
      <c r="B26" s="460">
        <v>1.0</v>
      </c>
      <c r="C26" s="459" t="s">
        <v>435</v>
      </c>
      <c r="D26" s="460" t="s">
        <v>10</v>
      </c>
      <c r="E26" s="459" t="s">
        <v>10</v>
      </c>
      <c r="F26" s="459" t="s">
        <v>10</v>
      </c>
      <c r="G26" s="459" t="s">
        <v>507</v>
      </c>
      <c r="H26" s="462" t="s">
        <v>10</v>
      </c>
      <c r="I26" s="459" t="s">
        <v>10</v>
      </c>
      <c r="J26" s="463" t="s">
        <v>558</v>
      </c>
      <c r="K26" s="465" t="s">
        <v>965</v>
      </c>
    </row>
    <row r="27">
      <c r="A27" s="449" t="s">
        <v>967</v>
      </c>
      <c r="B27" s="451">
        <v>1.0</v>
      </c>
      <c r="C27" s="449" t="s">
        <v>435</v>
      </c>
      <c r="D27" s="451">
        <v>2.0</v>
      </c>
      <c r="E27" s="449" t="s">
        <v>968</v>
      </c>
      <c r="F27" s="449" t="s">
        <v>657</v>
      </c>
      <c r="G27" s="449" t="s">
        <v>441</v>
      </c>
      <c r="H27" s="453">
        <v>1.0</v>
      </c>
      <c r="I27" s="449" t="s">
        <v>443</v>
      </c>
      <c r="J27" s="455" t="s">
        <v>701</v>
      </c>
      <c r="K27" s="457" t="s">
        <v>971</v>
      </c>
    </row>
    <row r="28">
      <c r="A28" s="459" t="s">
        <v>972</v>
      </c>
      <c r="B28" s="460">
        <v>2.0</v>
      </c>
      <c r="C28" s="459" t="s">
        <v>572</v>
      </c>
      <c r="D28" s="460">
        <v>3.0</v>
      </c>
      <c r="E28" s="459" t="s">
        <v>743</v>
      </c>
      <c r="F28" s="459" t="s">
        <v>657</v>
      </c>
      <c r="G28" s="459" t="s">
        <v>441</v>
      </c>
      <c r="H28" s="462">
        <v>2.0</v>
      </c>
      <c r="I28" s="459" t="s">
        <v>576</v>
      </c>
      <c r="J28" s="467" t="s">
        <v>974</v>
      </c>
      <c r="K28" s="465" t="s">
        <v>976</v>
      </c>
    </row>
    <row r="29">
      <c r="A29" s="449" t="s">
        <v>978</v>
      </c>
      <c r="B29" s="468">
        <v>3.0</v>
      </c>
      <c r="C29" s="470" t="s">
        <v>572</v>
      </c>
      <c r="D29" s="468">
        <v>4.0</v>
      </c>
      <c r="E29" s="470" t="s">
        <v>979</v>
      </c>
      <c r="F29" s="470" t="s">
        <v>657</v>
      </c>
      <c r="G29" s="470" t="s">
        <v>441</v>
      </c>
      <c r="H29" s="472" t="s">
        <v>483</v>
      </c>
      <c r="I29" s="470" t="s">
        <v>576</v>
      </c>
      <c r="J29" s="455" t="s">
        <v>973</v>
      </c>
      <c r="K29" s="457" t="s">
        <v>981</v>
      </c>
    </row>
    <row r="30">
      <c r="A30" s="473" t="s">
        <v>983</v>
      </c>
      <c r="B30" s="475">
        <v>4.0</v>
      </c>
      <c r="C30" s="473" t="s">
        <v>556</v>
      </c>
      <c r="D30" s="475">
        <v>4.0</v>
      </c>
      <c r="E30" s="465" t="s">
        <v>984</v>
      </c>
      <c r="F30" s="473" t="s">
        <v>657</v>
      </c>
      <c r="G30" s="473" t="s">
        <v>441</v>
      </c>
      <c r="H30" s="476">
        <v>1.0</v>
      </c>
      <c r="I30" s="473" t="s">
        <v>443</v>
      </c>
      <c r="J30" s="477" t="s">
        <v>510</v>
      </c>
      <c r="K30" s="459" t="s">
        <v>987</v>
      </c>
    </row>
    <row r="31">
      <c r="A31" s="470" t="s">
        <v>988</v>
      </c>
      <c r="B31" s="468">
        <v>5.0</v>
      </c>
      <c r="C31" s="470" t="s">
        <v>491</v>
      </c>
      <c r="D31" s="468" t="s">
        <v>10</v>
      </c>
      <c r="E31" s="470" t="s">
        <v>10</v>
      </c>
      <c r="F31" s="470" t="s">
        <v>10</v>
      </c>
      <c r="G31" s="470" t="s">
        <v>507</v>
      </c>
      <c r="H31" s="453" t="s">
        <v>10</v>
      </c>
      <c r="I31" s="470" t="s">
        <v>10</v>
      </c>
      <c r="J31" s="480" t="s">
        <v>10</v>
      </c>
      <c r="K31" s="457" t="s">
        <v>992</v>
      </c>
    </row>
    <row r="32">
      <c r="A32" s="473" t="s">
        <v>993</v>
      </c>
      <c r="B32" s="475">
        <v>6.0</v>
      </c>
      <c r="C32" s="473" t="s">
        <v>556</v>
      </c>
      <c r="D32" s="475">
        <v>4.0</v>
      </c>
      <c r="E32" s="473" t="s">
        <v>995</v>
      </c>
      <c r="F32" s="473" t="s">
        <v>657</v>
      </c>
      <c r="G32" s="473" t="s">
        <v>441</v>
      </c>
      <c r="H32" s="462">
        <v>1.0</v>
      </c>
      <c r="I32" s="473" t="s">
        <v>443</v>
      </c>
      <c r="J32" s="467" t="s">
        <v>997</v>
      </c>
      <c r="K32" s="473" t="s">
        <v>998</v>
      </c>
    </row>
    <row r="33">
      <c r="A33" s="470" t="s">
        <v>999</v>
      </c>
      <c r="B33" s="468">
        <v>7.0</v>
      </c>
      <c r="C33" s="470" t="s">
        <v>536</v>
      </c>
      <c r="D33" s="468" t="s">
        <v>10</v>
      </c>
      <c r="E33" s="470" t="s">
        <v>10</v>
      </c>
      <c r="F33" s="449" t="s">
        <v>10</v>
      </c>
      <c r="G33" s="470" t="s">
        <v>507</v>
      </c>
      <c r="H33" s="453" t="s">
        <v>10</v>
      </c>
      <c r="I33" s="470" t="s">
        <v>10</v>
      </c>
      <c r="J33" s="480" t="s">
        <v>10</v>
      </c>
      <c r="K33" s="457" t="s">
        <v>1003</v>
      </c>
    </row>
    <row r="34">
      <c r="A34" s="473" t="s">
        <v>1005</v>
      </c>
      <c r="B34" s="475">
        <v>8.0</v>
      </c>
      <c r="C34" s="473" t="s">
        <v>556</v>
      </c>
      <c r="D34" s="475">
        <v>4.0</v>
      </c>
      <c r="E34" s="473" t="s">
        <v>609</v>
      </c>
      <c r="F34" s="473" t="s">
        <v>657</v>
      </c>
      <c r="G34" s="473" t="s">
        <v>441</v>
      </c>
      <c r="H34" s="462">
        <v>3.0</v>
      </c>
      <c r="I34" s="473" t="s">
        <v>576</v>
      </c>
      <c r="J34" s="467" t="s">
        <v>1006</v>
      </c>
      <c r="K34" s="459" t="s">
        <v>1007</v>
      </c>
    </row>
    <row r="35">
      <c r="A35" s="470" t="s">
        <v>1008</v>
      </c>
      <c r="B35" s="468">
        <v>9.0</v>
      </c>
      <c r="C35" s="470" t="s">
        <v>506</v>
      </c>
      <c r="D35" s="468">
        <v>4.0</v>
      </c>
      <c r="E35" s="449" t="s">
        <v>1010</v>
      </c>
      <c r="F35" s="470" t="s">
        <v>657</v>
      </c>
      <c r="G35" s="470" t="s">
        <v>441</v>
      </c>
      <c r="H35" s="453">
        <v>1.0</v>
      </c>
      <c r="I35" s="470" t="s">
        <v>443</v>
      </c>
      <c r="J35" s="480" t="s">
        <v>445</v>
      </c>
      <c r="K35" s="457" t="s">
        <v>1011</v>
      </c>
    </row>
    <row r="36">
      <c r="A36" s="473" t="s">
        <v>1013</v>
      </c>
      <c r="B36" s="475">
        <v>10.0</v>
      </c>
      <c r="C36" s="473" t="s">
        <v>506</v>
      </c>
      <c r="D36" s="475">
        <v>5.0</v>
      </c>
      <c r="E36" s="459" t="s">
        <v>743</v>
      </c>
      <c r="F36" s="473" t="s">
        <v>657</v>
      </c>
      <c r="G36" s="473" t="s">
        <v>441</v>
      </c>
      <c r="H36" s="462" t="s">
        <v>483</v>
      </c>
      <c r="I36" s="473" t="s">
        <v>576</v>
      </c>
      <c r="J36" s="477" t="s">
        <v>830</v>
      </c>
      <c r="K36" s="465" t="s">
        <v>1014</v>
      </c>
    </row>
    <row r="37">
      <c r="A37" s="384" t="s">
        <v>1015</v>
      </c>
      <c r="B37" s="149"/>
      <c r="C37" s="149"/>
      <c r="D37" s="149"/>
      <c r="E37" s="149"/>
      <c r="F37" s="149"/>
      <c r="G37" s="149"/>
      <c r="H37" s="149"/>
      <c r="I37" s="149"/>
      <c r="J37" s="149"/>
      <c r="K37" s="149"/>
    </row>
    <row r="38">
      <c r="A38" s="150" t="s">
        <v>1016</v>
      </c>
      <c r="B38" s="7"/>
      <c r="C38" s="7"/>
      <c r="D38" s="7"/>
      <c r="E38" s="7"/>
      <c r="F38" s="7"/>
      <c r="G38" s="152" t="s">
        <v>1019</v>
      </c>
      <c r="H38" s="7"/>
      <c r="I38" s="7"/>
      <c r="J38" s="7"/>
      <c r="K38" s="7"/>
    </row>
    <row r="39">
      <c r="A39" s="490" t="s">
        <v>1021</v>
      </c>
      <c r="B39" s="492">
        <v>1.0</v>
      </c>
      <c r="C39" s="490" t="s">
        <v>479</v>
      </c>
      <c r="D39" s="492" t="s">
        <v>10</v>
      </c>
      <c r="E39" s="490" t="s">
        <v>10</v>
      </c>
      <c r="F39" s="495" t="s">
        <v>10</v>
      </c>
      <c r="G39" s="495" t="s">
        <v>479</v>
      </c>
      <c r="H39" s="497" t="s">
        <v>10</v>
      </c>
      <c r="I39" s="495" t="s">
        <v>10</v>
      </c>
      <c r="J39" s="498" t="s">
        <v>10</v>
      </c>
      <c r="K39" s="495" t="s">
        <v>1025</v>
      </c>
    </row>
    <row r="40">
      <c r="A40" s="470" t="s">
        <v>1027</v>
      </c>
      <c r="B40" s="468">
        <v>1.0</v>
      </c>
      <c r="C40" s="457" t="s">
        <v>435</v>
      </c>
      <c r="D40" s="468">
        <v>3.0</v>
      </c>
      <c r="E40" s="457" t="s">
        <v>627</v>
      </c>
      <c r="F40" s="470" t="s">
        <v>657</v>
      </c>
      <c r="G40" s="470" t="s">
        <v>441</v>
      </c>
      <c r="H40" s="472">
        <v>1.0</v>
      </c>
      <c r="I40" s="470" t="s">
        <v>443</v>
      </c>
      <c r="J40" s="480" t="s">
        <v>445</v>
      </c>
      <c r="K40" s="457" t="s">
        <v>1030</v>
      </c>
    </row>
    <row r="41">
      <c r="A41" s="495" t="s">
        <v>1031</v>
      </c>
      <c r="B41" s="492">
        <v>2.0</v>
      </c>
      <c r="C41" s="490" t="s">
        <v>572</v>
      </c>
      <c r="D41" s="501">
        <v>4.0</v>
      </c>
      <c r="E41" s="490" t="s">
        <v>745</v>
      </c>
      <c r="F41" s="495" t="s">
        <v>657</v>
      </c>
      <c r="G41" s="490" t="s">
        <v>441</v>
      </c>
      <c r="H41" s="502" t="s">
        <v>483</v>
      </c>
      <c r="I41" s="490" t="s">
        <v>576</v>
      </c>
      <c r="J41" s="503" t="s">
        <v>754</v>
      </c>
      <c r="K41" s="504" t="s">
        <v>1037</v>
      </c>
    </row>
    <row r="42">
      <c r="A42" s="470" t="s">
        <v>1039</v>
      </c>
      <c r="B42" s="468">
        <v>3.0</v>
      </c>
      <c r="C42" s="470" t="s">
        <v>572</v>
      </c>
      <c r="D42" s="505">
        <v>3.0</v>
      </c>
      <c r="E42" s="457" t="s">
        <v>716</v>
      </c>
      <c r="F42" s="470" t="s">
        <v>657</v>
      </c>
      <c r="G42" s="470" t="s">
        <v>441</v>
      </c>
      <c r="H42" s="472">
        <v>1.0</v>
      </c>
      <c r="I42" s="470" t="s">
        <v>443</v>
      </c>
      <c r="J42" s="480" t="s">
        <v>494</v>
      </c>
      <c r="K42" s="457" t="s">
        <v>1043</v>
      </c>
    </row>
    <row r="43">
      <c r="A43" s="490" t="s">
        <v>1044</v>
      </c>
      <c r="B43" s="492">
        <v>4.0</v>
      </c>
      <c r="C43" s="490" t="s">
        <v>608</v>
      </c>
      <c r="D43" s="492">
        <v>3.0</v>
      </c>
      <c r="E43" s="495" t="s">
        <v>42</v>
      </c>
      <c r="F43" s="495" t="s">
        <v>657</v>
      </c>
      <c r="G43" s="490" t="s">
        <v>441</v>
      </c>
      <c r="H43" s="497">
        <v>1.0</v>
      </c>
      <c r="I43" s="490" t="s">
        <v>443</v>
      </c>
      <c r="J43" s="498" t="s">
        <v>701</v>
      </c>
      <c r="K43" s="495" t="s">
        <v>1047</v>
      </c>
    </row>
    <row r="44">
      <c r="A44" s="470" t="s">
        <v>1049</v>
      </c>
      <c r="B44" s="468">
        <v>5.0</v>
      </c>
      <c r="C44" s="470" t="s">
        <v>572</v>
      </c>
      <c r="D44" s="468">
        <v>3.0</v>
      </c>
      <c r="E44" s="457" t="s">
        <v>627</v>
      </c>
      <c r="F44" s="470" t="s">
        <v>657</v>
      </c>
      <c r="G44" s="470" t="s">
        <v>441</v>
      </c>
      <c r="H44" s="507" t="s">
        <v>483</v>
      </c>
      <c r="I44" s="470" t="s">
        <v>576</v>
      </c>
      <c r="J44" s="480" t="s">
        <v>485</v>
      </c>
      <c r="K44" s="457" t="s">
        <v>1052</v>
      </c>
    </row>
    <row r="45">
      <c r="A45" s="490" t="s">
        <v>1053</v>
      </c>
      <c r="B45" s="492">
        <v>6.0</v>
      </c>
      <c r="C45" s="490" t="s">
        <v>556</v>
      </c>
      <c r="D45" s="492">
        <v>4.0</v>
      </c>
      <c r="E45" s="490" t="s">
        <v>876</v>
      </c>
      <c r="F45" s="490" t="s">
        <v>657</v>
      </c>
      <c r="G45" s="490" t="s">
        <v>441</v>
      </c>
      <c r="H45" s="497">
        <v>1.0</v>
      </c>
      <c r="I45" s="490" t="s">
        <v>443</v>
      </c>
      <c r="J45" s="503" t="s">
        <v>558</v>
      </c>
      <c r="K45" s="495" t="s">
        <v>1055</v>
      </c>
    </row>
    <row r="46">
      <c r="A46" s="470" t="s">
        <v>1056</v>
      </c>
      <c r="B46" s="468">
        <v>7.0</v>
      </c>
      <c r="C46" s="470" t="s">
        <v>506</v>
      </c>
      <c r="D46" s="468" t="s">
        <v>10</v>
      </c>
      <c r="E46" s="470" t="s">
        <v>10</v>
      </c>
      <c r="F46" s="457" t="s">
        <v>10</v>
      </c>
      <c r="G46" s="470" t="s">
        <v>492</v>
      </c>
      <c r="H46" s="507">
        <v>1.0</v>
      </c>
      <c r="I46" s="470" t="s">
        <v>451</v>
      </c>
      <c r="J46" s="508" t="s">
        <v>10</v>
      </c>
      <c r="K46" s="457" t="s">
        <v>1058</v>
      </c>
    </row>
    <row r="47">
      <c r="A47" s="490" t="s">
        <v>1059</v>
      </c>
      <c r="B47" s="492">
        <v>8.0</v>
      </c>
      <c r="C47" s="490" t="s">
        <v>556</v>
      </c>
      <c r="D47" s="492">
        <v>4.0</v>
      </c>
      <c r="E47" s="490" t="s">
        <v>1061</v>
      </c>
      <c r="F47" s="495" t="s">
        <v>657</v>
      </c>
      <c r="G47" s="490" t="s">
        <v>441</v>
      </c>
      <c r="H47" s="497">
        <v>1.0</v>
      </c>
      <c r="I47" s="490" t="s">
        <v>443</v>
      </c>
      <c r="J47" s="498" t="s">
        <v>588</v>
      </c>
      <c r="K47" s="495" t="s">
        <v>1063</v>
      </c>
    </row>
    <row r="48">
      <c r="A48" s="470" t="s">
        <v>1064</v>
      </c>
      <c r="B48" s="468">
        <v>9.0</v>
      </c>
      <c r="C48" s="470" t="s">
        <v>536</v>
      </c>
      <c r="D48" s="468">
        <v>4.0</v>
      </c>
      <c r="E48" s="470" t="s">
        <v>1065</v>
      </c>
      <c r="F48" s="470" t="s">
        <v>657</v>
      </c>
      <c r="G48" s="470" t="s">
        <v>441</v>
      </c>
      <c r="H48" s="472">
        <v>1.0</v>
      </c>
      <c r="I48" s="470" t="s">
        <v>443</v>
      </c>
      <c r="J48" s="480" t="s">
        <v>494</v>
      </c>
      <c r="K48" s="457" t="s">
        <v>1066</v>
      </c>
    </row>
    <row r="49">
      <c r="A49" s="512" t="s">
        <v>1067</v>
      </c>
      <c r="B49" s="514">
        <v>10.0</v>
      </c>
      <c r="C49" s="512" t="s">
        <v>506</v>
      </c>
      <c r="D49" s="516">
        <v>5.0</v>
      </c>
      <c r="E49" s="512" t="s">
        <v>1070</v>
      </c>
      <c r="F49" s="518" t="s">
        <v>657</v>
      </c>
      <c r="G49" s="512" t="s">
        <v>441</v>
      </c>
      <c r="H49" s="520">
        <v>1.0</v>
      </c>
      <c r="I49" s="512" t="s">
        <v>443</v>
      </c>
      <c r="J49" s="522" t="s">
        <v>445</v>
      </c>
      <c r="K49" s="518" t="s">
        <v>1074</v>
      </c>
    </row>
  </sheetData>
  <mergeCells count="19">
    <mergeCell ref="A1:A2"/>
    <mergeCell ref="B1:B2"/>
    <mergeCell ref="C1:C2"/>
    <mergeCell ref="D1:D2"/>
    <mergeCell ref="E1:G1"/>
    <mergeCell ref="H1:J1"/>
    <mergeCell ref="K1:K2"/>
    <mergeCell ref="A24:F24"/>
    <mergeCell ref="G24:K24"/>
    <mergeCell ref="A37:K37"/>
    <mergeCell ref="A38:F38"/>
    <mergeCell ref="G38:K38"/>
    <mergeCell ref="A3:K3"/>
    <mergeCell ref="A8:K8"/>
    <mergeCell ref="A9:K9"/>
    <mergeCell ref="A10:K10"/>
    <mergeCell ref="A11:F11"/>
    <mergeCell ref="G11:K11"/>
    <mergeCell ref="A23:K23"/>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7E6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87"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256" t="s">
        <v>917</v>
      </c>
      <c r="B8" s="37"/>
      <c r="C8" s="37"/>
      <c r="D8" s="37"/>
      <c r="E8" s="37"/>
      <c r="F8" s="37"/>
      <c r="G8" s="37"/>
      <c r="H8" s="37"/>
      <c r="I8" s="37"/>
      <c r="J8" s="37"/>
      <c r="K8" s="37"/>
    </row>
    <row r="9">
      <c r="A9" s="147"/>
    </row>
    <row r="10">
      <c r="A10" s="227" t="s">
        <v>162</v>
      </c>
      <c r="B10" s="149"/>
      <c r="C10" s="149"/>
      <c r="D10" s="149"/>
      <c r="E10" s="149"/>
      <c r="F10" s="149"/>
      <c r="G10" s="149"/>
      <c r="H10" s="149"/>
      <c r="I10" s="149"/>
      <c r="J10" s="149"/>
      <c r="K10" s="149"/>
    </row>
    <row r="11">
      <c r="A11" s="230" t="s">
        <v>938</v>
      </c>
      <c r="B11" s="7"/>
      <c r="C11" s="7"/>
      <c r="D11" s="7"/>
      <c r="E11" s="7"/>
      <c r="F11" s="7"/>
      <c r="G11" s="232" t="s">
        <v>939</v>
      </c>
      <c r="H11" s="7"/>
      <c r="I11" s="7"/>
      <c r="J11" s="7"/>
      <c r="K11" s="7"/>
    </row>
    <row r="12">
      <c r="A12" s="440" t="s">
        <v>944</v>
      </c>
      <c r="B12" s="441">
        <v>1.0</v>
      </c>
      <c r="C12" s="442" t="s">
        <v>572</v>
      </c>
      <c r="D12" s="441" t="s">
        <v>10</v>
      </c>
      <c r="E12" s="440" t="s">
        <v>10</v>
      </c>
      <c r="F12" s="442" t="s">
        <v>10</v>
      </c>
      <c r="G12" s="442" t="s">
        <v>507</v>
      </c>
      <c r="H12" s="443" t="s">
        <v>10</v>
      </c>
      <c r="I12" s="440" t="s">
        <v>451</v>
      </c>
      <c r="J12" s="445" t="s">
        <v>10</v>
      </c>
      <c r="K12" s="446" t="s">
        <v>952</v>
      </c>
    </row>
    <row r="13">
      <c r="A13" s="448" t="s">
        <v>954</v>
      </c>
      <c r="B13" s="450">
        <v>1.0</v>
      </c>
      <c r="C13" s="452" t="s">
        <v>435</v>
      </c>
      <c r="D13" s="450">
        <v>3.0</v>
      </c>
      <c r="E13" s="448" t="s">
        <v>627</v>
      </c>
      <c r="F13" s="448" t="s">
        <v>603</v>
      </c>
      <c r="G13" s="448" t="s">
        <v>441</v>
      </c>
      <c r="H13" s="454">
        <v>1.0</v>
      </c>
      <c r="I13" s="448" t="s">
        <v>443</v>
      </c>
      <c r="J13" s="456" t="s">
        <v>958</v>
      </c>
      <c r="K13" s="458" t="s">
        <v>960</v>
      </c>
    </row>
    <row r="14">
      <c r="A14" s="440" t="s">
        <v>962</v>
      </c>
      <c r="B14" s="441">
        <v>2.0</v>
      </c>
      <c r="C14" s="440" t="s">
        <v>572</v>
      </c>
      <c r="D14" s="441">
        <v>4.0</v>
      </c>
      <c r="E14" s="440" t="s">
        <v>892</v>
      </c>
      <c r="F14" s="440" t="s">
        <v>603</v>
      </c>
      <c r="G14" s="440" t="s">
        <v>441</v>
      </c>
      <c r="H14" s="461">
        <v>1.0</v>
      </c>
      <c r="I14" s="440" t="s">
        <v>443</v>
      </c>
      <c r="J14" s="445" t="s">
        <v>588</v>
      </c>
      <c r="K14" s="446" t="s">
        <v>963</v>
      </c>
    </row>
    <row r="15">
      <c r="A15" s="448" t="s">
        <v>964</v>
      </c>
      <c r="B15" s="450">
        <v>3.0</v>
      </c>
      <c r="C15" s="448" t="s">
        <v>572</v>
      </c>
      <c r="D15" s="464">
        <v>3.0</v>
      </c>
      <c r="E15" s="452" t="s">
        <v>966</v>
      </c>
      <c r="F15" s="448" t="s">
        <v>603</v>
      </c>
      <c r="G15" s="448" t="s">
        <v>441</v>
      </c>
      <c r="H15" s="454">
        <v>1.0</v>
      </c>
      <c r="I15" s="448" t="s">
        <v>443</v>
      </c>
      <c r="J15" s="456" t="s">
        <v>445</v>
      </c>
      <c r="K15" s="458" t="s">
        <v>969</v>
      </c>
    </row>
    <row r="16">
      <c r="A16" s="440" t="s">
        <v>970</v>
      </c>
      <c r="B16" s="441">
        <v>4.0</v>
      </c>
      <c r="C16" s="442" t="s">
        <v>884</v>
      </c>
      <c r="D16" s="441">
        <v>4.0</v>
      </c>
      <c r="E16" s="466" t="s">
        <v>693</v>
      </c>
      <c r="F16" s="466" t="s">
        <v>603</v>
      </c>
      <c r="G16" s="440" t="s">
        <v>441</v>
      </c>
      <c r="H16" s="443" t="s">
        <v>483</v>
      </c>
      <c r="I16" s="440" t="s">
        <v>576</v>
      </c>
      <c r="J16" s="445" t="s">
        <v>973</v>
      </c>
      <c r="K16" s="446" t="s">
        <v>975</v>
      </c>
    </row>
    <row r="17">
      <c r="A17" s="448" t="s">
        <v>977</v>
      </c>
      <c r="B17" s="450">
        <v>5.0</v>
      </c>
      <c r="C17" s="448" t="s">
        <v>884</v>
      </c>
      <c r="D17" s="450" t="s">
        <v>10</v>
      </c>
      <c r="E17" s="469" t="s">
        <v>10</v>
      </c>
      <c r="F17" s="452" t="s">
        <v>10</v>
      </c>
      <c r="G17" s="448" t="s">
        <v>492</v>
      </c>
      <c r="H17" s="471" t="s">
        <v>483</v>
      </c>
      <c r="I17" s="458" t="s">
        <v>484</v>
      </c>
      <c r="J17" s="456" t="s">
        <v>930</v>
      </c>
      <c r="K17" s="458" t="s">
        <v>980</v>
      </c>
    </row>
    <row r="18">
      <c r="A18" s="442" t="s">
        <v>982</v>
      </c>
      <c r="B18" s="441">
        <v>6.0</v>
      </c>
      <c r="C18" s="440" t="s">
        <v>556</v>
      </c>
      <c r="D18" s="474">
        <v>4.0</v>
      </c>
      <c r="E18" s="466" t="s">
        <v>966</v>
      </c>
      <c r="F18" s="466" t="s">
        <v>603</v>
      </c>
      <c r="G18" s="440" t="s">
        <v>441</v>
      </c>
      <c r="H18" s="461">
        <v>1.0</v>
      </c>
      <c r="I18" s="440" t="s">
        <v>443</v>
      </c>
      <c r="J18" s="445" t="s">
        <v>445</v>
      </c>
      <c r="K18" s="446" t="s">
        <v>985</v>
      </c>
    </row>
    <row r="19">
      <c r="A19" s="448" t="s">
        <v>986</v>
      </c>
      <c r="B19" s="450">
        <v>7.0</v>
      </c>
      <c r="C19" s="452" t="s">
        <v>556</v>
      </c>
      <c r="D19" s="450">
        <v>4.0</v>
      </c>
      <c r="E19" s="448" t="s">
        <v>709</v>
      </c>
      <c r="F19" s="448" t="s">
        <v>603</v>
      </c>
      <c r="G19" s="448" t="s">
        <v>441</v>
      </c>
      <c r="H19" s="471" t="s">
        <v>830</v>
      </c>
      <c r="I19" s="448" t="s">
        <v>989</v>
      </c>
      <c r="J19" s="478" t="s">
        <v>830</v>
      </c>
      <c r="K19" s="479" t="s">
        <v>990</v>
      </c>
    </row>
    <row r="20">
      <c r="A20" s="440" t="s">
        <v>991</v>
      </c>
      <c r="B20" s="441">
        <v>8.0</v>
      </c>
      <c r="C20" s="442" t="s">
        <v>556</v>
      </c>
      <c r="D20" s="441" t="s">
        <v>10</v>
      </c>
      <c r="E20" s="440" t="s">
        <v>10</v>
      </c>
      <c r="F20" s="442" t="s">
        <v>10</v>
      </c>
      <c r="G20" s="440" t="s">
        <v>492</v>
      </c>
      <c r="H20" s="443" t="s">
        <v>10</v>
      </c>
      <c r="I20" s="440" t="s">
        <v>451</v>
      </c>
      <c r="J20" s="445" t="s">
        <v>10</v>
      </c>
      <c r="K20" s="446" t="s">
        <v>994</v>
      </c>
    </row>
    <row r="21">
      <c r="A21" s="448" t="s">
        <v>996</v>
      </c>
      <c r="B21" s="450">
        <v>9.0</v>
      </c>
      <c r="C21" s="448" t="s">
        <v>556</v>
      </c>
      <c r="D21" s="450">
        <v>4.0</v>
      </c>
      <c r="E21" s="448" t="s">
        <v>918</v>
      </c>
      <c r="F21" s="448" t="s">
        <v>603</v>
      </c>
      <c r="G21" s="448" t="s">
        <v>441</v>
      </c>
      <c r="H21" s="454">
        <v>1.0</v>
      </c>
      <c r="I21" s="448" t="s">
        <v>443</v>
      </c>
      <c r="J21" s="456" t="s">
        <v>445</v>
      </c>
      <c r="K21" s="458" t="s">
        <v>1000</v>
      </c>
    </row>
    <row r="22">
      <c r="A22" s="440" t="s">
        <v>1001</v>
      </c>
      <c r="B22" s="441">
        <v>10.0</v>
      </c>
      <c r="C22" s="440" t="s">
        <v>506</v>
      </c>
      <c r="D22" s="441">
        <v>5.0</v>
      </c>
      <c r="E22" s="440" t="s">
        <v>1002</v>
      </c>
      <c r="F22" s="440" t="s">
        <v>603</v>
      </c>
      <c r="G22" s="440" t="s">
        <v>441</v>
      </c>
      <c r="H22" s="461">
        <v>1.0</v>
      </c>
      <c r="I22" s="440" t="s">
        <v>443</v>
      </c>
      <c r="J22" s="481" t="s">
        <v>445</v>
      </c>
      <c r="K22" s="446" t="s">
        <v>1004</v>
      </c>
    </row>
    <row r="23">
      <c r="A23" s="227" t="s">
        <v>70</v>
      </c>
      <c r="B23" s="149"/>
      <c r="C23" s="149"/>
      <c r="D23" s="149"/>
      <c r="E23" s="149"/>
      <c r="F23" s="149"/>
      <c r="G23" s="149"/>
      <c r="H23" s="149"/>
      <c r="I23" s="149"/>
      <c r="J23" s="149"/>
      <c r="K23" s="149"/>
    </row>
    <row r="24">
      <c r="A24" s="230" t="s">
        <v>1009</v>
      </c>
      <c r="B24" s="7"/>
      <c r="C24" s="7"/>
      <c r="D24" s="7"/>
      <c r="E24" s="7"/>
      <c r="F24" s="7"/>
      <c r="G24" s="232" t="s">
        <v>1012</v>
      </c>
      <c r="H24" s="7"/>
      <c r="I24" s="7"/>
      <c r="J24" s="7"/>
      <c r="K24" s="7"/>
    </row>
    <row r="25">
      <c r="A25" s="482" t="s">
        <v>82</v>
      </c>
      <c r="B25" s="483">
        <v>1.0</v>
      </c>
      <c r="C25" s="482" t="s">
        <v>479</v>
      </c>
      <c r="D25" s="483" t="s">
        <v>10</v>
      </c>
      <c r="E25" s="482" t="s">
        <v>10</v>
      </c>
      <c r="F25" s="482" t="s">
        <v>10</v>
      </c>
      <c r="G25" s="482" t="s">
        <v>479</v>
      </c>
      <c r="H25" s="484" t="s">
        <v>10</v>
      </c>
      <c r="I25" s="482" t="s">
        <v>10</v>
      </c>
      <c r="J25" s="485" t="s">
        <v>10</v>
      </c>
      <c r="K25" s="486" t="s">
        <v>1017</v>
      </c>
    </row>
    <row r="26">
      <c r="A26" s="487" t="s">
        <v>1018</v>
      </c>
      <c r="B26" s="488">
        <v>1.0</v>
      </c>
      <c r="C26" s="487" t="s">
        <v>435</v>
      </c>
      <c r="D26" s="489">
        <v>2.0</v>
      </c>
      <c r="E26" s="487" t="s">
        <v>1020</v>
      </c>
      <c r="F26" s="487" t="s">
        <v>603</v>
      </c>
      <c r="G26" s="487" t="s">
        <v>441</v>
      </c>
      <c r="H26" s="491">
        <v>1.0</v>
      </c>
      <c r="I26" s="487" t="s">
        <v>443</v>
      </c>
      <c r="J26" s="493" t="s">
        <v>445</v>
      </c>
      <c r="K26" s="494" t="s">
        <v>1022</v>
      </c>
    </row>
    <row r="27">
      <c r="A27" s="482" t="s">
        <v>371</v>
      </c>
      <c r="B27" s="483">
        <v>2.0</v>
      </c>
      <c r="C27" s="496" t="s">
        <v>435</v>
      </c>
      <c r="D27" s="483">
        <v>3.0</v>
      </c>
      <c r="E27" s="482" t="s">
        <v>1023</v>
      </c>
      <c r="F27" s="482" t="s">
        <v>603</v>
      </c>
      <c r="G27" s="482" t="s">
        <v>441</v>
      </c>
      <c r="H27" s="484">
        <v>1.0</v>
      </c>
      <c r="I27" s="482" t="s">
        <v>443</v>
      </c>
      <c r="J27" s="485" t="s">
        <v>588</v>
      </c>
      <c r="K27" s="499" t="s">
        <v>1024</v>
      </c>
    </row>
    <row r="28">
      <c r="A28" s="487" t="s">
        <v>1026</v>
      </c>
      <c r="B28" s="488">
        <v>3.0</v>
      </c>
      <c r="C28" s="487" t="s">
        <v>572</v>
      </c>
      <c r="D28" s="488">
        <v>3.0</v>
      </c>
      <c r="E28" s="487" t="s">
        <v>968</v>
      </c>
      <c r="F28" s="487" t="s">
        <v>603</v>
      </c>
      <c r="G28" s="487" t="s">
        <v>441</v>
      </c>
      <c r="H28" s="491">
        <v>1.0</v>
      </c>
      <c r="I28" s="487" t="s">
        <v>443</v>
      </c>
      <c r="J28" s="493" t="s">
        <v>445</v>
      </c>
      <c r="K28" s="494" t="s">
        <v>1028</v>
      </c>
    </row>
    <row r="29">
      <c r="A29" s="482" t="s">
        <v>1029</v>
      </c>
      <c r="B29" s="483">
        <v>4.0</v>
      </c>
      <c r="C29" s="482" t="s">
        <v>536</v>
      </c>
      <c r="D29" s="483" t="s">
        <v>10</v>
      </c>
      <c r="E29" s="482" t="s">
        <v>10</v>
      </c>
      <c r="F29" s="482" t="s">
        <v>10</v>
      </c>
      <c r="G29" s="496" t="s">
        <v>565</v>
      </c>
      <c r="H29" s="500" t="s">
        <v>10</v>
      </c>
      <c r="I29" s="482" t="s">
        <v>451</v>
      </c>
      <c r="J29" s="485" t="s">
        <v>10</v>
      </c>
      <c r="K29" s="496" t="s">
        <v>1032</v>
      </c>
    </row>
    <row r="30">
      <c r="A30" s="487" t="s">
        <v>1033</v>
      </c>
      <c r="B30" s="488">
        <v>5.0</v>
      </c>
      <c r="C30" s="487" t="s">
        <v>506</v>
      </c>
      <c r="D30" s="488">
        <v>3.0</v>
      </c>
      <c r="E30" s="487" t="s">
        <v>1023</v>
      </c>
      <c r="F30" s="487" t="s">
        <v>603</v>
      </c>
      <c r="G30" s="487" t="s">
        <v>441</v>
      </c>
      <c r="H30" s="491">
        <v>1.0</v>
      </c>
      <c r="I30" s="487" t="s">
        <v>443</v>
      </c>
      <c r="J30" s="493" t="s">
        <v>445</v>
      </c>
      <c r="K30" s="487" t="s">
        <v>1034</v>
      </c>
    </row>
    <row r="31">
      <c r="A31" s="482" t="s">
        <v>1035</v>
      </c>
      <c r="B31" s="483">
        <v>6.0</v>
      </c>
      <c r="C31" s="482" t="s">
        <v>536</v>
      </c>
      <c r="D31" s="483">
        <v>4.0</v>
      </c>
      <c r="E31" s="482" t="s">
        <v>1036</v>
      </c>
      <c r="F31" s="482" t="s">
        <v>603</v>
      </c>
      <c r="G31" s="482" t="s">
        <v>441</v>
      </c>
      <c r="H31" s="484">
        <v>1.0</v>
      </c>
      <c r="I31" s="482" t="s">
        <v>443</v>
      </c>
      <c r="J31" s="485" t="s">
        <v>445</v>
      </c>
      <c r="K31" s="496" t="s">
        <v>1038</v>
      </c>
    </row>
    <row r="32">
      <c r="A32" s="487" t="s">
        <v>1040</v>
      </c>
      <c r="B32" s="488">
        <v>7.0</v>
      </c>
      <c r="C32" s="487" t="s">
        <v>556</v>
      </c>
      <c r="D32" s="488">
        <v>4.0</v>
      </c>
      <c r="E32" s="487" t="s">
        <v>724</v>
      </c>
      <c r="F32" s="487" t="s">
        <v>603</v>
      </c>
      <c r="G32" s="487" t="s">
        <v>441</v>
      </c>
      <c r="H32" s="506">
        <v>1.0</v>
      </c>
      <c r="I32" s="487" t="s">
        <v>443</v>
      </c>
      <c r="J32" s="493" t="s">
        <v>445</v>
      </c>
      <c r="K32" s="494" t="s">
        <v>1041</v>
      </c>
    </row>
    <row r="33">
      <c r="A33" s="482" t="s">
        <v>1042</v>
      </c>
      <c r="B33" s="483">
        <v>8.0</v>
      </c>
      <c r="C33" s="482" t="s">
        <v>506</v>
      </c>
      <c r="D33" s="483">
        <v>4.0</v>
      </c>
      <c r="E33" s="482" t="s">
        <v>691</v>
      </c>
      <c r="F33" s="482" t="s">
        <v>603</v>
      </c>
      <c r="G33" s="482" t="s">
        <v>441</v>
      </c>
      <c r="H33" s="484" t="s">
        <v>483</v>
      </c>
      <c r="I33" s="482" t="s">
        <v>576</v>
      </c>
      <c r="J33" s="485" t="s">
        <v>973</v>
      </c>
      <c r="K33" s="496" t="s">
        <v>1045</v>
      </c>
    </row>
    <row r="34">
      <c r="A34" s="487" t="s">
        <v>1046</v>
      </c>
      <c r="B34" s="488">
        <v>9.0</v>
      </c>
      <c r="C34" s="487" t="s">
        <v>556</v>
      </c>
      <c r="D34" s="488">
        <v>4.0</v>
      </c>
      <c r="E34" s="487" t="s">
        <v>1048</v>
      </c>
      <c r="F34" s="487" t="s">
        <v>603</v>
      </c>
      <c r="G34" s="487" t="s">
        <v>441</v>
      </c>
      <c r="H34" s="491">
        <v>1.0</v>
      </c>
      <c r="I34" s="487" t="s">
        <v>443</v>
      </c>
      <c r="J34" s="493" t="s">
        <v>445</v>
      </c>
      <c r="K34" s="494" t="s">
        <v>1050</v>
      </c>
    </row>
    <row r="35">
      <c r="A35" s="482" t="s">
        <v>1051</v>
      </c>
      <c r="B35" s="483">
        <v>10.0</v>
      </c>
      <c r="C35" s="482" t="s">
        <v>506</v>
      </c>
      <c r="D35" s="483">
        <v>5.0</v>
      </c>
      <c r="E35" s="482" t="s">
        <v>761</v>
      </c>
      <c r="F35" s="482" t="s">
        <v>603</v>
      </c>
      <c r="G35" s="482" t="s">
        <v>441</v>
      </c>
      <c r="H35" s="484">
        <v>1.0</v>
      </c>
      <c r="I35" s="482" t="s">
        <v>443</v>
      </c>
      <c r="J35" s="485" t="s">
        <v>445</v>
      </c>
      <c r="K35" s="486" t="s">
        <v>1054</v>
      </c>
    </row>
    <row r="36">
      <c r="A36" s="227" t="s">
        <v>56</v>
      </c>
      <c r="B36" s="149"/>
      <c r="C36" s="149"/>
      <c r="D36" s="149"/>
      <c r="E36" s="149"/>
      <c r="F36" s="149"/>
      <c r="G36" s="149"/>
      <c r="H36" s="149"/>
      <c r="I36" s="149"/>
      <c r="J36" s="149"/>
      <c r="K36" s="149"/>
    </row>
    <row r="37">
      <c r="A37" s="230" t="s">
        <v>1057</v>
      </c>
      <c r="B37" s="7"/>
      <c r="C37" s="7"/>
      <c r="D37" s="7"/>
      <c r="E37" s="7"/>
      <c r="F37" s="7"/>
      <c r="G37" s="232" t="s">
        <v>1060</v>
      </c>
      <c r="H37" s="7"/>
      <c r="I37" s="7"/>
      <c r="J37" s="7"/>
      <c r="K37" s="7"/>
    </row>
    <row r="38">
      <c r="A38" s="509" t="s">
        <v>1062</v>
      </c>
      <c r="B38" s="510">
        <v>1.0</v>
      </c>
      <c r="C38" s="509" t="s">
        <v>435</v>
      </c>
      <c r="D38" s="510">
        <v>2.0</v>
      </c>
      <c r="E38" s="509" t="s">
        <v>42</v>
      </c>
      <c r="F38" s="509" t="s">
        <v>603</v>
      </c>
      <c r="G38" s="509" t="s">
        <v>441</v>
      </c>
      <c r="H38" s="511" t="s">
        <v>483</v>
      </c>
      <c r="I38" s="509" t="s">
        <v>576</v>
      </c>
      <c r="J38" s="513" t="s">
        <v>873</v>
      </c>
      <c r="K38" s="509" t="s">
        <v>1068</v>
      </c>
    </row>
    <row r="39">
      <c r="A39" s="515" t="s">
        <v>1069</v>
      </c>
      <c r="B39" s="517">
        <v>2.0</v>
      </c>
      <c r="C39" s="515" t="s">
        <v>572</v>
      </c>
      <c r="D39" s="517">
        <v>2.0</v>
      </c>
      <c r="E39" s="515" t="s">
        <v>1071</v>
      </c>
      <c r="F39" s="515" t="s">
        <v>603</v>
      </c>
      <c r="G39" s="515" t="s">
        <v>462</v>
      </c>
      <c r="H39" s="519">
        <v>1.0</v>
      </c>
      <c r="I39" s="515" t="s">
        <v>443</v>
      </c>
      <c r="J39" s="521" t="s">
        <v>445</v>
      </c>
      <c r="K39" s="515" t="s">
        <v>1072</v>
      </c>
    </row>
    <row r="40">
      <c r="A40" s="509" t="s">
        <v>1073</v>
      </c>
      <c r="B40" s="510">
        <v>3.0</v>
      </c>
      <c r="C40" s="509" t="s">
        <v>435</v>
      </c>
      <c r="D40" s="510">
        <v>3.0</v>
      </c>
      <c r="E40" s="509" t="s">
        <v>601</v>
      </c>
      <c r="F40" s="509" t="s">
        <v>603</v>
      </c>
      <c r="G40" s="509" t="s">
        <v>441</v>
      </c>
      <c r="H40" s="511">
        <v>1.0</v>
      </c>
      <c r="I40" s="509" t="s">
        <v>443</v>
      </c>
      <c r="J40" s="513" t="s">
        <v>544</v>
      </c>
      <c r="K40" s="509" t="s">
        <v>1075</v>
      </c>
    </row>
    <row r="41">
      <c r="A41" s="515" t="s">
        <v>1076</v>
      </c>
      <c r="B41" s="517">
        <v>4.0</v>
      </c>
      <c r="C41" s="515" t="s">
        <v>572</v>
      </c>
      <c r="D41" s="517">
        <v>2.0</v>
      </c>
      <c r="E41" s="515" t="s">
        <v>1077</v>
      </c>
      <c r="F41" s="515" t="s">
        <v>603</v>
      </c>
      <c r="G41" s="515" t="s">
        <v>462</v>
      </c>
      <c r="H41" s="519">
        <v>1.0</v>
      </c>
      <c r="I41" s="515" t="s">
        <v>443</v>
      </c>
      <c r="J41" s="521" t="s">
        <v>510</v>
      </c>
      <c r="K41" s="515" t="s">
        <v>1078</v>
      </c>
    </row>
    <row r="42">
      <c r="A42" s="509" t="s">
        <v>1079</v>
      </c>
      <c r="B42" s="510">
        <v>5.0</v>
      </c>
      <c r="C42" s="509" t="s">
        <v>556</v>
      </c>
      <c r="D42" s="510">
        <v>4.0</v>
      </c>
      <c r="E42" s="509" t="s">
        <v>1080</v>
      </c>
      <c r="F42" s="509" t="s">
        <v>603</v>
      </c>
      <c r="G42" s="509" t="s">
        <v>441</v>
      </c>
      <c r="H42" s="511">
        <v>1.0</v>
      </c>
      <c r="I42" s="509" t="s">
        <v>443</v>
      </c>
      <c r="J42" s="513" t="s">
        <v>445</v>
      </c>
      <c r="K42" s="509" t="s">
        <v>1081</v>
      </c>
    </row>
    <row r="43">
      <c r="A43" s="515" t="s">
        <v>1082</v>
      </c>
      <c r="B43" s="517">
        <v>6.0</v>
      </c>
      <c r="C43" s="515" t="s">
        <v>884</v>
      </c>
      <c r="D43" s="517" t="s">
        <v>10</v>
      </c>
      <c r="E43" s="515" t="s">
        <v>10</v>
      </c>
      <c r="F43" s="515" t="s">
        <v>10</v>
      </c>
      <c r="G43" s="515" t="s">
        <v>492</v>
      </c>
      <c r="H43" s="519" t="s">
        <v>10</v>
      </c>
      <c r="I43" s="515" t="s">
        <v>451</v>
      </c>
      <c r="J43" s="521" t="s">
        <v>10</v>
      </c>
      <c r="K43" s="515" t="s">
        <v>1083</v>
      </c>
    </row>
    <row r="44">
      <c r="A44" s="509" t="s">
        <v>1084</v>
      </c>
      <c r="B44" s="510">
        <v>7.0</v>
      </c>
      <c r="C44" s="509" t="s">
        <v>572</v>
      </c>
      <c r="D44" s="510">
        <v>3.0</v>
      </c>
      <c r="E44" s="509" t="s">
        <v>609</v>
      </c>
      <c r="F44" s="509" t="s">
        <v>603</v>
      </c>
      <c r="G44" s="509" t="s">
        <v>441</v>
      </c>
      <c r="H44" s="511">
        <v>1.0</v>
      </c>
      <c r="I44" s="509" t="s">
        <v>443</v>
      </c>
      <c r="J44" s="513" t="s">
        <v>445</v>
      </c>
      <c r="K44" s="509" t="s">
        <v>1085</v>
      </c>
    </row>
    <row r="45">
      <c r="A45" s="515" t="s">
        <v>170</v>
      </c>
      <c r="B45" s="517">
        <v>8.0</v>
      </c>
      <c r="C45" s="515" t="s">
        <v>435</v>
      </c>
      <c r="D45" s="517">
        <v>2.0</v>
      </c>
      <c r="E45" s="515" t="s">
        <v>803</v>
      </c>
      <c r="F45" s="515" t="s">
        <v>603</v>
      </c>
      <c r="G45" s="515" t="s">
        <v>462</v>
      </c>
      <c r="H45" s="519">
        <v>1.0</v>
      </c>
      <c r="I45" s="515" t="s">
        <v>443</v>
      </c>
      <c r="J45" s="521" t="s">
        <v>445</v>
      </c>
      <c r="K45" s="515" t="s">
        <v>1086</v>
      </c>
    </row>
    <row r="46">
      <c r="A46" s="509" t="s">
        <v>1087</v>
      </c>
      <c r="B46" s="510">
        <v>9.0</v>
      </c>
      <c r="C46" s="509" t="s">
        <v>556</v>
      </c>
      <c r="D46" s="510">
        <v>4.0</v>
      </c>
      <c r="E46" s="509" t="s">
        <v>79</v>
      </c>
      <c r="F46" s="509" t="s">
        <v>603</v>
      </c>
      <c r="G46" s="509" t="s">
        <v>441</v>
      </c>
      <c r="H46" s="511">
        <v>1.0</v>
      </c>
      <c r="I46" s="509" t="s">
        <v>443</v>
      </c>
      <c r="J46" s="513" t="s">
        <v>445</v>
      </c>
      <c r="K46" s="509" t="s">
        <v>1088</v>
      </c>
    </row>
    <row r="47">
      <c r="A47" s="523" t="s">
        <v>1089</v>
      </c>
      <c r="B47" s="524">
        <v>10.0</v>
      </c>
      <c r="C47" s="523" t="s">
        <v>506</v>
      </c>
      <c r="D47" s="524">
        <v>5.0</v>
      </c>
      <c r="E47" s="523" t="s">
        <v>1090</v>
      </c>
      <c r="F47" s="523" t="s">
        <v>603</v>
      </c>
      <c r="G47" s="523" t="s">
        <v>462</v>
      </c>
      <c r="H47" s="525">
        <v>1.0</v>
      </c>
      <c r="I47" s="523" t="s">
        <v>443</v>
      </c>
      <c r="J47" s="526" t="s">
        <v>510</v>
      </c>
      <c r="K47" s="523" t="s">
        <v>1091</v>
      </c>
    </row>
  </sheetData>
  <mergeCells count="19">
    <mergeCell ref="A1:A2"/>
    <mergeCell ref="B1:B2"/>
    <mergeCell ref="C1:C2"/>
    <mergeCell ref="D1:D2"/>
    <mergeCell ref="E1:G1"/>
    <mergeCell ref="H1:J1"/>
    <mergeCell ref="K1:K2"/>
    <mergeCell ref="A24:F24"/>
    <mergeCell ref="G24:K24"/>
    <mergeCell ref="A36:K36"/>
    <mergeCell ref="A37:F37"/>
    <mergeCell ref="G37:K37"/>
    <mergeCell ref="A3:K3"/>
    <mergeCell ref="A8:K8"/>
    <mergeCell ref="A9:K9"/>
    <mergeCell ref="A10:K10"/>
    <mergeCell ref="A11:F11"/>
    <mergeCell ref="G11:K11"/>
    <mergeCell ref="A23:K23"/>
  </mergeCell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0" max="10" width="12.63"/>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87"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269" t="s">
        <v>1092</v>
      </c>
      <c r="B8" s="37"/>
      <c r="C8" s="37"/>
      <c r="D8" s="37"/>
      <c r="E8" s="37"/>
      <c r="F8" s="37"/>
      <c r="G8" s="37"/>
      <c r="H8" s="37"/>
      <c r="I8" s="37"/>
      <c r="J8" s="37"/>
      <c r="K8" s="37"/>
    </row>
    <row r="9">
      <c r="A9" s="147"/>
    </row>
    <row r="10">
      <c r="A10" s="227" t="s">
        <v>49</v>
      </c>
      <c r="B10" s="149"/>
      <c r="C10" s="149"/>
      <c r="D10" s="149"/>
      <c r="E10" s="149"/>
      <c r="F10" s="149"/>
      <c r="G10" s="149"/>
      <c r="H10" s="149"/>
      <c r="I10" s="149"/>
      <c r="J10" s="149"/>
      <c r="K10" s="149"/>
    </row>
    <row r="11">
      <c r="A11" s="230" t="s">
        <v>1093</v>
      </c>
      <c r="B11" s="7"/>
      <c r="C11" s="7"/>
      <c r="D11" s="7"/>
      <c r="E11" s="7"/>
      <c r="F11" s="7"/>
      <c r="G11" s="232" t="s">
        <v>1094</v>
      </c>
      <c r="H11" s="7"/>
      <c r="I11" s="7"/>
      <c r="J11" s="7"/>
      <c r="K11" s="7"/>
    </row>
    <row r="12">
      <c r="A12" s="527" t="s">
        <v>1096</v>
      </c>
      <c r="B12" s="528">
        <v>1.0</v>
      </c>
      <c r="C12" s="527" t="s">
        <v>435</v>
      </c>
      <c r="D12" s="528" t="s">
        <v>10</v>
      </c>
      <c r="E12" s="527" t="s">
        <v>10</v>
      </c>
      <c r="F12" s="529" t="s">
        <v>10</v>
      </c>
      <c r="G12" s="527" t="s">
        <v>565</v>
      </c>
      <c r="H12" s="530" t="s">
        <v>10</v>
      </c>
      <c r="I12" s="527" t="s">
        <v>451</v>
      </c>
      <c r="J12" s="531" t="s">
        <v>10</v>
      </c>
      <c r="K12" s="532" t="s">
        <v>1098</v>
      </c>
    </row>
    <row r="13">
      <c r="A13" s="533" t="s">
        <v>1100</v>
      </c>
      <c r="B13" s="534">
        <v>1.0</v>
      </c>
      <c r="C13" s="536" t="s">
        <v>435</v>
      </c>
      <c r="D13" s="538">
        <v>3.0</v>
      </c>
      <c r="E13" s="533" t="s">
        <v>627</v>
      </c>
      <c r="F13" s="533" t="s">
        <v>603</v>
      </c>
      <c r="G13" s="533" t="s">
        <v>441</v>
      </c>
      <c r="H13" s="541">
        <v>1.0</v>
      </c>
      <c r="I13" s="536" t="s">
        <v>443</v>
      </c>
      <c r="J13" s="543" t="s">
        <v>445</v>
      </c>
      <c r="K13" s="536" t="s">
        <v>1104</v>
      </c>
    </row>
    <row r="14">
      <c r="A14" s="527" t="s">
        <v>1105</v>
      </c>
      <c r="B14" s="546">
        <v>2.0</v>
      </c>
      <c r="C14" s="529" t="s">
        <v>572</v>
      </c>
      <c r="D14" s="528">
        <v>3.0</v>
      </c>
      <c r="E14" s="527" t="s">
        <v>743</v>
      </c>
      <c r="F14" s="527" t="s">
        <v>603</v>
      </c>
      <c r="G14" s="527" t="s">
        <v>441</v>
      </c>
      <c r="H14" s="530">
        <v>1.0</v>
      </c>
      <c r="I14" s="527" t="s">
        <v>443</v>
      </c>
      <c r="J14" s="531" t="s">
        <v>445</v>
      </c>
      <c r="K14" s="529" t="s">
        <v>1107</v>
      </c>
    </row>
    <row r="15">
      <c r="A15" s="536" t="s">
        <v>1109</v>
      </c>
      <c r="B15" s="538">
        <v>3.0</v>
      </c>
      <c r="C15" s="533" t="s">
        <v>572</v>
      </c>
      <c r="D15" s="538">
        <v>3.0</v>
      </c>
      <c r="E15" s="533" t="s">
        <v>79</v>
      </c>
      <c r="F15" s="533" t="s">
        <v>603</v>
      </c>
      <c r="G15" s="533" t="s">
        <v>441</v>
      </c>
      <c r="H15" s="541">
        <v>1.0</v>
      </c>
      <c r="I15" s="533" t="s">
        <v>443</v>
      </c>
      <c r="J15" s="543" t="s">
        <v>445</v>
      </c>
      <c r="K15" s="536" t="s">
        <v>1111</v>
      </c>
    </row>
    <row r="16">
      <c r="A16" s="527" t="s">
        <v>1113</v>
      </c>
      <c r="B16" s="528">
        <v>4.0</v>
      </c>
      <c r="C16" s="527" t="s">
        <v>556</v>
      </c>
      <c r="D16" s="528">
        <v>2.0</v>
      </c>
      <c r="E16" s="529" t="s">
        <v>737</v>
      </c>
      <c r="F16" s="527" t="s">
        <v>603</v>
      </c>
      <c r="G16" s="527" t="s">
        <v>441</v>
      </c>
      <c r="H16" s="530">
        <v>1.0</v>
      </c>
      <c r="I16" s="527" t="s">
        <v>443</v>
      </c>
      <c r="J16" s="531" t="s">
        <v>445</v>
      </c>
      <c r="K16" s="529" t="s">
        <v>1116</v>
      </c>
    </row>
    <row r="17">
      <c r="A17" s="536" t="s">
        <v>1117</v>
      </c>
      <c r="B17" s="538">
        <v>5.0</v>
      </c>
      <c r="C17" s="536" t="s">
        <v>506</v>
      </c>
      <c r="D17" s="534" t="s">
        <v>10</v>
      </c>
      <c r="E17" s="536" t="s">
        <v>10</v>
      </c>
      <c r="F17" s="536" t="s">
        <v>10</v>
      </c>
      <c r="G17" s="536" t="s">
        <v>507</v>
      </c>
      <c r="H17" s="541" t="s">
        <v>10</v>
      </c>
      <c r="I17" s="536" t="s">
        <v>451</v>
      </c>
      <c r="J17" s="554" t="s">
        <v>10</v>
      </c>
      <c r="K17" s="536" t="s">
        <v>1122</v>
      </c>
    </row>
    <row r="18">
      <c r="A18" s="529" t="s">
        <v>1124</v>
      </c>
      <c r="B18" s="528">
        <v>6.0</v>
      </c>
      <c r="C18" s="529" t="s">
        <v>536</v>
      </c>
      <c r="D18" s="546">
        <v>3.0</v>
      </c>
      <c r="E18" s="529" t="s">
        <v>732</v>
      </c>
      <c r="F18" s="529" t="s">
        <v>603</v>
      </c>
      <c r="G18" s="529" t="s">
        <v>441</v>
      </c>
      <c r="H18" s="530">
        <v>1.0</v>
      </c>
      <c r="I18" s="529" t="s">
        <v>443</v>
      </c>
      <c r="J18" s="557" t="s">
        <v>445</v>
      </c>
      <c r="K18" s="529" t="s">
        <v>1127</v>
      </c>
    </row>
    <row r="19">
      <c r="A19" s="536" t="s">
        <v>1129</v>
      </c>
      <c r="B19" s="538">
        <v>7.0</v>
      </c>
      <c r="C19" s="533" t="s">
        <v>506</v>
      </c>
      <c r="D19" s="534" t="s">
        <v>10</v>
      </c>
      <c r="E19" s="536" t="s">
        <v>10</v>
      </c>
      <c r="F19" s="536" t="s">
        <v>10</v>
      </c>
      <c r="G19" s="536" t="s">
        <v>492</v>
      </c>
      <c r="H19" s="541" t="s">
        <v>10</v>
      </c>
      <c r="I19" s="536" t="s">
        <v>451</v>
      </c>
      <c r="J19" s="554" t="s">
        <v>10</v>
      </c>
      <c r="K19" s="536" t="s">
        <v>1132</v>
      </c>
    </row>
    <row r="20">
      <c r="A20" s="527" t="s">
        <v>1134</v>
      </c>
      <c r="B20" s="528">
        <v>8.0</v>
      </c>
      <c r="C20" s="527" t="s">
        <v>556</v>
      </c>
      <c r="D20" s="528">
        <v>4.0</v>
      </c>
      <c r="E20" s="529" t="s">
        <v>772</v>
      </c>
      <c r="F20" s="527" t="s">
        <v>603</v>
      </c>
      <c r="G20" s="527" t="s">
        <v>441</v>
      </c>
      <c r="H20" s="530">
        <v>1.0</v>
      </c>
      <c r="I20" s="527" t="s">
        <v>443</v>
      </c>
      <c r="J20" s="531" t="s">
        <v>445</v>
      </c>
      <c r="K20" s="529" t="s">
        <v>1143</v>
      </c>
    </row>
    <row r="21">
      <c r="A21" s="533" t="s">
        <v>1144</v>
      </c>
      <c r="B21" s="538">
        <v>9.0</v>
      </c>
      <c r="C21" s="533" t="s">
        <v>556</v>
      </c>
      <c r="D21" s="538">
        <v>4.0</v>
      </c>
      <c r="E21" s="533" t="s">
        <v>1149</v>
      </c>
      <c r="F21" s="533" t="s">
        <v>603</v>
      </c>
      <c r="G21" s="533" t="s">
        <v>441</v>
      </c>
      <c r="H21" s="541">
        <v>1.0</v>
      </c>
      <c r="I21" s="533" t="s">
        <v>443</v>
      </c>
      <c r="J21" s="543" t="s">
        <v>445</v>
      </c>
      <c r="K21" s="536" t="s">
        <v>1152</v>
      </c>
    </row>
    <row r="22">
      <c r="A22" s="527" t="s">
        <v>1153</v>
      </c>
      <c r="B22" s="528">
        <v>10.0</v>
      </c>
      <c r="C22" s="527" t="s">
        <v>506</v>
      </c>
      <c r="D22" s="528">
        <v>4.0</v>
      </c>
      <c r="E22" s="529" t="s">
        <v>709</v>
      </c>
      <c r="F22" s="527" t="s">
        <v>603</v>
      </c>
      <c r="G22" s="527" t="s">
        <v>441</v>
      </c>
      <c r="H22" s="530">
        <v>1.0</v>
      </c>
      <c r="I22" s="527" t="s">
        <v>443</v>
      </c>
      <c r="J22" s="531" t="s">
        <v>445</v>
      </c>
      <c r="K22" s="529" t="s">
        <v>1156</v>
      </c>
    </row>
    <row r="23">
      <c r="A23" s="227" t="s">
        <v>130</v>
      </c>
      <c r="B23" s="149"/>
      <c r="C23" s="149"/>
      <c r="D23" s="149"/>
      <c r="E23" s="149"/>
      <c r="F23" s="149"/>
      <c r="G23" s="149"/>
      <c r="H23" s="149"/>
      <c r="I23" s="149"/>
      <c r="J23" s="149"/>
      <c r="K23" s="149"/>
    </row>
    <row r="24">
      <c r="A24" s="230" t="s">
        <v>1164</v>
      </c>
      <c r="B24" s="7"/>
      <c r="C24" s="7"/>
      <c r="D24" s="7"/>
      <c r="E24" s="7"/>
      <c r="F24" s="7"/>
      <c r="G24" s="232" t="s">
        <v>1166</v>
      </c>
      <c r="H24" s="7"/>
      <c r="I24" s="7"/>
      <c r="J24" s="7"/>
      <c r="K24" s="7"/>
    </row>
    <row r="25">
      <c r="A25" s="595" t="s">
        <v>174</v>
      </c>
      <c r="B25" s="597">
        <v>1.0</v>
      </c>
      <c r="C25" s="595" t="s">
        <v>435</v>
      </c>
      <c r="D25" s="597">
        <v>3.0</v>
      </c>
      <c r="E25" s="600" t="s">
        <v>1179</v>
      </c>
      <c r="F25" s="595" t="s">
        <v>603</v>
      </c>
      <c r="G25" s="595" t="s">
        <v>441</v>
      </c>
      <c r="H25" s="604">
        <v>1.0</v>
      </c>
      <c r="I25" s="595" t="s">
        <v>443</v>
      </c>
      <c r="J25" s="606" t="s">
        <v>445</v>
      </c>
      <c r="K25" s="600" t="s">
        <v>1185</v>
      </c>
    </row>
    <row r="26">
      <c r="A26" s="609" t="s">
        <v>1187</v>
      </c>
      <c r="B26" s="610">
        <v>2.0</v>
      </c>
      <c r="C26" s="609" t="s">
        <v>479</v>
      </c>
      <c r="D26" s="613" t="s">
        <v>10</v>
      </c>
      <c r="E26" s="609" t="s">
        <v>10</v>
      </c>
      <c r="F26" s="615" t="s">
        <v>10</v>
      </c>
      <c r="G26" s="615" t="s">
        <v>479</v>
      </c>
      <c r="H26" s="618" t="s">
        <v>10</v>
      </c>
      <c r="I26" s="609" t="s">
        <v>10</v>
      </c>
      <c r="J26" s="622" t="s">
        <v>10</v>
      </c>
      <c r="K26" s="624" t="s">
        <v>1200</v>
      </c>
    </row>
    <row r="27">
      <c r="A27" s="595" t="s">
        <v>1202</v>
      </c>
      <c r="B27" s="597">
        <v>2.0</v>
      </c>
      <c r="C27" s="600" t="s">
        <v>435</v>
      </c>
      <c r="D27" s="597">
        <v>3.0</v>
      </c>
      <c r="E27" s="600" t="s">
        <v>1204</v>
      </c>
      <c r="F27" s="595" t="s">
        <v>603</v>
      </c>
      <c r="G27" s="595" t="s">
        <v>441</v>
      </c>
      <c r="H27" s="604">
        <v>1.0</v>
      </c>
      <c r="I27" s="595" t="s">
        <v>443</v>
      </c>
      <c r="J27" s="606" t="s">
        <v>588</v>
      </c>
      <c r="K27" s="600" t="s">
        <v>1206</v>
      </c>
    </row>
    <row r="28">
      <c r="A28" s="609" t="s">
        <v>1207</v>
      </c>
      <c r="B28" s="613">
        <v>3.0</v>
      </c>
      <c r="C28" s="609" t="s">
        <v>572</v>
      </c>
      <c r="D28" s="613">
        <v>2.0</v>
      </c>
      <c r="E28" s="609" t="s">
        <v>1209</v>
      </c>
      <c r="F28" s="609" t="s">
        <v>603</v>
      </c>
      <c r="G28" s="609" t="s">
        <v>441</v>
      </c>
      <c r="H28" s="618">
        <v>1.0</v>
      </c>
      <c r="I28" s="609" t="s">
        <v>443</v>
      </c>
      <c r="J28" s="622" t="s">
        <v>445</v>
      </c>
      <c r="K28" s="615" t="s">
        <v>1213</v>
      </c>
    </row>
    <row r="29">
      <c r="A29" s="631" t="s">
        <v>1216</v>
      </c>
      <c r="B29" s="632">
        <v>4.0</v>
      </c>
      <c r="C29" s="631" t="s">
        <v>572</v>
      </c>
      <c r="D29" s="635">
        <v>3.0</v>
      </c>
      <c r="E29" s="631" t="s">
        <v>574</v>
      </c>
      <c r="F29" s="631" t="s">
        <v>603</v>
      </c>
      <c r="G29" s="631" t="s">
        <v>441</v>
      </c>
      <c r="H29" s="636">
        <v>1.0</v>
      </c>
      <c r="I29" s="631" t="s">
        <v>443</v>
      </c>
      <c r="J29" s="638" t="s">
        <v>1230</v>
      </c>
      <c r="K29" s="600" t="s">
        <v>1231</v>
      </c>
    </row>
    <row r="30">
      <c r="A30" s="640" t="s">
        <v>1233</v>
      </c>
      <c r="B30" s="642">
        <v>5.0</v>
      </c>
      <c r="C30" s="640" t="s">
        <v>556</v>
      </c>
      <c r="D30" s="642">
        <v>3.0</v>
      </c>
      <c r="E30" s="640" t="s">
        <v>1239</v>
      </c>
      <c r="F30" s="640" t="s">
        <v>603</v>
      </c>
      <c r="G30" s="640" t="s">
        <v>441</v>
      </c>
      <c r="H30" s="644">
        <v>1.0</v>
      </c>
      <c r="I30" s="640" t="s">
        <v>443</v>
      </c>
      <c r="J30" s="647" t="s">
        <v>445</v>
      </c>
      <c r="K30" s="640" t="s">
        <v>1244</v>
      </c>
    </row>
    <row r="31">
      <c r="A31" s="631" t="s">
        <v>1246</v>
      </c>
      <c r="B31" s="632">
        <v>6.0</v>
      </c>
      <c r="C31" s="631" t="s">
        <v>572</v>
      </c>
      <c r="D31" s="632">
        <v>2.0</v>
      </c>
      <c r="E31" s="600" t="s">
        <v>1248</v>
      </c>
      <c r="F31" s="631" t="s">
        <v>603</v>
      </c>
      <c r="G31" s="631" t="s">
        <v>441</v>
      </c>
      <c r="H31" s="651" t="s">
        <v>483</v>
      </c>
      <c r="I31" s="631" t="s">
        <v>576</v>
      </c>
      <c r="J31" s="654" t="s">
        <v>973</v>
      </c>
      <c r="K31" s="600" t="s">
        <v>1254</v>
      </c>
    </row>
    <row r="32">
      <c r="A32" s="640" t="s">
        <v>1255</v>
      </c>
      <c r="B32" s="642">
        <v>7.0</v>
      </c>
      <c r="C32" s="640" t="s">
        <v>556</v>
      </c>
      <c r="D32" s="642">
        <v>4.0</v>
      </c>
      <c r="E32" s="615" t="s">
        <v>1259</v>
      </c>
      <c r="F32" s="640" t="s">
        <v>603</v>
      </c>
      <c r="G32" s="640" t="s">
        <v>441</v>
      </c>
      <c r="H32" s="644">
        <v>1.0</v>
      </c>
      <c r="I32" s="640" t="s">
        <v>443</v>
      </c>
      <c r="J32" s="647" t="s">
        <v>445</v>
      </c>
      <c r="K32" s="640" t="s">
        <v>1264</v>
      </c>
    </row>
    <row r="33">
      <c r="A33" s="631" t="s">
        <v>1266</v>
      </c>
      <c r="B33" s="632">
        <v>8.0</v>
      </c>
      <c r="C33" s="631" t="s">
        <v>536</v>
      </c>
      <c r="D33" s="632">
        <v>3.0</v>
      </c>
      <c r="E33" s="631" t="s">
        <v>1269</v>
      </c>
      <c r="F33" s="631" t="s">
        <v>603</v>
      </c>
      <c r="G33" s="631" t="s">
        <v>441</v>
      </c>
      <c r="H33" s="636">
        <v>1.0</v>
      </c>
      <c r="I33" s="631" t="s">
        <v>443</v>
      </c>
      <c r="J33" s="654" t="s">
        <v>445</v>
      </c>
      <c r="K33" s="600" t="s">
        <v>1275</v>
      </c>
    </row>
    <row r="34">
      <c r="A34" s="640" t="s">
        <v>1276</v>
      </c>
      <c r="B34" s="642">
        <v>9.0</v>
      </c>
      <c r="C34" s="640" t="s">
        <v>506</v>
      </c>
      <c r="D34" s="642">
        <v>4.0</v>
      </c>
      <c r="E34" s="640" t="s">
        <v>1277</v>
      </c>
      <c r="F34" s="640" t="s">
        <v>603</v>
      </c>
      <c r="G34" s="640" t="s">
        <v>441</v>
      </c>
      <c r="H34" s="644">
        <v>1.0</v>
      </c>
      <c r="I34" s="640" t="s">
        <v>443</v>
      </c>
      <c r="J34" s="647" t="s">
        <v>445</v>
      </c>
      <c r="K34" s="615" t="s">
        <v>1281</v>
      </c>
    </row>
    <row r="35">
      <c r="A35" s="631" t="s">
        <v>1282</v>
      </c>
      <c r="B35" s="632">
        <v>10.0</v>
      </c>
      <c r="C35" s="631" t="s">
        <v>506</v>
      </c>
      <c r="D35" s="632">
        <v>5.0</v>
      </c>
      <c r="E35" s="600" t="s">
        <v>1171</v>
      </c>
      <c r="F35" s="631" t="s">
        <v>603</v>
      </c>
      <c r="G35" s="631" t="s">
        <v>441</v>
      </c>
      <c r="H35" s="636">
        <v>1.0</v>
      </c>
      <c r="I35" s="631" t="s">
        <v>443</v>
      </c>
      <c r="J35" s="654" t="s">
        <v>445</v>
      </c>
      <c r="K35" s="600" t="s">
        <v>1286</v>
      </c>
    </row>
    <row r="36">
      <c r="A36" s="227" t="s">
        <v>85</v>
      </c>
      <c r="B36" s="149"/>
      <c r="C36" s="149"/>
      <c r="D36" s="149"/>
      <c r="E36" s="149"/>
      <c r="F36" s="149"/>
      <c r="G36" s="149"/>
      <c r="H36" s="149"/>
      <c r="I36" s="149"/>
      <c r="J36" s="149"/>
      <c r="K36" s="149"/>
    </row>
    <row r="37">
      <c r="A37" s="230" t="s">
        <v>1291</v>
      </c>
      <c r="B37" s="7"/>
      <c r="C37" s="7"/>
      <c r="D37" s="7"/>
      <c r="E37" s="7"/>
      <c r="F37" s="7"/>
      <c r="G37" s="232" t="s">
        <v>1294</v>
      </c>
      <c r="H37" s="7"/>
      <c r="I37" s="7"/>
      <c r="J37" s="7"/>
      <c r="K37" s="7"/>
    </row>
    <row r="38">
      <c r="A38" s="671" t="s">
        <v>464</v>
      </c>
      <c r="B38" s="673">
        <v>1.0</v>
      </c>
      <c r="C38" s="675" t="s">
        <v>435</v>
      </c>
      <c r="D38" s="673">
        <v>3.0</v>
      </c>
      <c r="E38" s="671" t="s">
        <v>42</v>
      </c>
      <c r="F38" s="671" t="s">
        <v>603</v>
      </c>
      <c r="G38" s="671" t="s">
        <v>441</v>
      </c>
      <c r="H38" s="679">
        <v>2.0</v>
      </c>
      <c r="I38" s="675" t="s">
        <v>576</v>
      </c>
      <c r="J38" s="681" t="s">
        <v>445</v>
      </c>
      <c r="K38" s="683" t="s">
        <v>1317</v>
      </c>
    </row>
    <row r="39">
      <c r="A39" s="685" t="s">
        <v>1320</v>
      </c>
      <c r="B39" s="687">
        <v>2.0</v>
      </c>
      <c r="C39" s="685" t="s">
        <v>572</v>
      </c>
      <c r="D39" s="687">
        <v>3.0</v>
      </c>
      <c r="E39" s="685" t="s">
        <v>724</v>
      </c>
      <c r="F39" s="685" t="s">
        <v>603</v>
      </c>
      <c r="G39" s="685" t="s">
        <v>441</v>
      </c>
      <c r="H39" s="692">
        <v>1.0</v>
      </c>
      <c r="I39" s="685" t="s">
        <v>443</v>
      </c>
      <c r="J39" s="696" t="s">
        <v>588</v>
      </c>
      <c r="K39" s="685" t="s">
        <v>1334</v>
      </c>
    </row>
    <row r="40">
      <c r="A40" s="675" t="s">
        <v>166</v>
      </c>
      <c r="B40" s="698">
        <v>3.0</v>
      </c>
      <c r="C40" s="675" t="s">
        <v>435</v>
      </c>
      <c r="D40" s="698">
        <v>2.0</v>
      </c>
      <c r="E40" s="675" t="s">
        <v>966</v>
      </c>
      <c r="F40" s="675" t="s">
        <v>603</v>
      </c>
      <c r="G40" s="675" t="s">
        <v>441</v>
      </c>
      <c r="H40" s="679">
        <v>1.0</v>
      </c>
      <c r="I40" s="675" t="s">
        <v>443</v>
      </c>
      <c r="J40" s="702" t="s">
        <v>445</v>
      </c>
      <c r="K40" s="683" t="s">
        <v>1345</v>
      </c>
    </row>
    <row r="41">
      <c r="A41" s="685" t="s">
        <v>1348</v>
      </c>
      <c r="B41" s="687">
        <v>4.0</v>
      </c>
      <c r="C41" s="685" t="s">
        <v>506</v>
      </c>
      <c r="D41" s="687" t="s">
        <v>10</v>
      </c>
      <c r="E41" s="685" t="s">
        <v>10</v>
      </c>
      <c r="F41" s="685" t="s">
        <v>10</v>
      </c>
      <c r="G41" s="685" t="s">
        <v>507</v>
      </c>
      <c r="H41" s="692">
        <v>1.0</v>
      </c>
      <c r="I41" s="685" t="s">
        <v>451</v>
      </c>
      <c r="J41" s="706" t="s">
        <v>10</v>
      </c>
      <c r="K41" s="708" t="s">
        <v>1356</v>
      </c>
    </row>
    <row r="42">
      <c r="A42" s="675" t="s">
        <v>1360</v>
      </c>
      <c r="B42" s="709">
        <v>4.0</v>
      </c>
      <c r="C42" s="675" t="s">
        <v>556</v>
      </c>
      <c r="D42" s="698" t="s">
        <v>10</v>
      </c>
      <c r="E42" s="675" t="s">
        <v>10</v>
      </c>
      <c r="F42" s="675" t="s">
        <v>10</v>
      </c>
      <c r="G42" s="675" t="s">
        <v>507</v>
      </c>
      <c r="H42" s="711" t="s">
        <v>10</v>
      </c>
      <c r="I42" s="671" t="s">
        <v>451</v>
      </c>
      <c r="J42" s="702" t="s">
        <v>10</v>
      </c>
      <c r="K42" s="675" t="s">
        <v>1364</v>
      </c>
    </row>
    <row r="43">
      <c r="A43" s="685" t="s">
        <v>1368</v>
      </c>
      <c r="B43" s="713">
        <v>5.0</v>
      </c>
      <c r="C43" s="685" t="s">
        <v>572</v>
      </c>
      <c r="D43" s="687">
        <v>4.0</v>
      </c>
      <c r="E43" s="685" t="s">
        <v>1371</v>
      </c>
      <c r="F43" s="685" t="s">
        <v>830</v>
      </c>
      <c r="G43" s="714" t="s">
        <v>441</v>
      </c>
      <c r="H43" s="717">
        <v>1.0</v>
      </c>
      <c r="I43" s="714" t="s">
        <v>443</v>
      </c>
      <c r="J43" s="706" t="s">
        <v>830</v>
      </c>
      <c r="K43" s="719" t="s">
        <v>1380</v>
      </c>
    </row>
    <row r="44">
      <c r="A44" s="675" t="s">
        <v>1382</v>
      </c>
      <c r="B44" s="709">
        <v>6.0</v>
      </c>
      <c r="C44" s="675" t="s">
        <v>556</v>
      </c>
      <c r="D44" s="698">
        <v>4.0</v>
      </c>
      <c r="E44" s="675" t="s">
        <v>636</v>
      </c>
      <c r="F44" s="675" t="s">
        <v>603</v>
      </c>
      <c r="G44" s="675" t="s">
        <v>441</v>
      </c>
      <c r="H44" s="679">
        <v>1.0</v>
      </c>
      <c r="I44" s="675" t="s">
        <v>443</v>
      </c>
      <c r="J44" s="702" t="s">
        <v>445</v>
      </c>
      <c r="K44" s="683" t="s">
        <v>1388</v>
      </c>
    </row>
    <row r="45">
      <c r="A45" s="708" t="s">
        <v>1389</v>
      </c>
      <c r="B45" s="713">
        <v>7.0</v>
      </c>
      <c r="C45" s="708" t="s">
        <v>435</v>
      </c>
      <c r="D45" s="713">
        <v>3.0</v>
      </c>
      <c r="E45" s="708" t="s">
        <v>876</v>
      </c>
      <c r="F45" s="708" t="s">
        <v>657</v>
      </c>
      <c r="G45" s="708" t="s">
        <v>441</v>
      </c>
      <c r="H45" s="728">
        <v>1.0</v>
      </c>
      <c r="I45" s="708" t="s">
        <v>443</v>
      </c>
      <c r="J45" s="696" t="s">
        <v>588</v>
      </c>
      <c r="K45" s="708" t="s">
        <v>1397</v>
      </c>
    </row>
    <row r="46">
      <c r="A46" s="675" t="s">
        <v>1399</v>
      </c>
      <c r="B46" s="698">
        <v>8.0</v>
      </c>
      <c r="C46" s="675" t="s">
        <v>506</v>
      </c>
      <c r="D46" s="698" t="s">
        <v>10</v>
      </c>
      <c r="E46" s="675" t="s">
        <v>10</v>
      </c>
      <c r="F46" s="675" t="s">
        <v>10</v>
      </c>
      <c r="G46" s="675" t="s">
        <v>462</v>
      </c>
      <c r="H46" s="679" t="s">
        <v>10</v>
      </c>
      <c r="I46" s="675" t="s">
        <v>451</v>
      </c>
      <c r="J46" s="702" t="s">
        <v>10</v>
      </c>
      <c r="K46" s="683" t="s">
        <v>1405</v>
      </c>
    </row>
    <row r="47">
      <c r="A47" s="685" t="s">
        <v>1407</v>
      </c>
      <c r="B47" s="687">
        <v>9.0</v>
      </c>
      <c r="C47" s="685" t="s">
        <v>608</v>
      </c>
      <c r="D47" s="687">
        <v>5.0</v>
      </c>
      <c r="E47" s="685" t="s">
        <v>968</v>
      </c>
      <c r="F47" s="685" t="s">
        <v>603</v>
      </c>
      <c r="G47" s="685" t="s">
        <v>450</v>
      </c>
      <c r="H47" s="692">
        <v>1.0</v>
      </c>
      <c r="I47" s="685" t="s">
        <v>443</v>
      </c>
      <c r="J47" s="706" t="s">
        <v>1110</v>
      </c>
      <c r="K47" s="685" t="s">
        <v>1412</v>
      </c>
    </row>
    <row r="48">
      <c r="A48" s="739" t="s">
        <v>45</v>
      </c>
      <c r="B48" s="742">
        <v>10.0</v>
      </c>
      <c r="C48" s="739" t="s">
        <v>506</v>
      </c>
      <c r="D48" s="742">
        <v>4.0</v>
      </c>
      <c r="E48" s="739" t="s">
        <v>715</v>
      </c>
      <c r="F48" s="739" t="s">
        <v>657</v>
      </c>
      <c r="G48" s="747" t="s">
        <v>1419</v>
      </c>
      <c r="H48" s="752" t="s">
        <v>483</v>
      </c>
      <c r="I48" s="739" t="s">
        <v>885</v>
      </c>
      <c r="J48" s="754" t="s">
        <v>930</v>
      </c>
      <c r="K48" s="747" t="s">
        <v>1424</v>
      </c>
    </row>
  </sheetData>
  <mergeCells count="19">
    <mergeCell ref="A1:A2"/>
    <mergeCell ref="B1:B2"/>
    <mergeCell ref="C1:C2"/>
    <mergeCell ref="D1:D2"/>
    <mergeCell ref="E1:G1"/>
    <mergeCell ref="H1:J1"/>
    <mergeCell ref="K1:K2"/>
    <mergeCell ref="A24:F24"/>
    <mergeCell ref="G24:K24"/>
    <mergeCell ref="A36:K36"/>
    <mergeCell ref="A37:F37"/>
    <mergeCell ref="G37:K37"/>
    <mergeCell ref="A3:K3"/>
    <mergeCell ref="A8:K8"/>
    <mergeCell ref="A9:K9"/>
    <mergeCell ref="A10:K10"/>
    <mergeCell ref="A11:F11"/>
    <mergeCell ref="G11:K11"/>
    <mergeCell ref="A23:K23"/>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0" max="10" width="12.63"/>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87"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223" t="s">
        <v>1095</v>
      </c>
      <c r="B8" s="37"/>
      <c r="C8" s="37"/>
      <c r="D8" s="37"/>
      <c r="E8" s="37"/>
      <c r="F8" s="37"/>
      <c r="G8" s="37"/>
      <c r="H8" s="37"/>
      <c r="I8" s="37"/>
      <c r="J8" s="37"/>
      <c r="K8" s="37"/>
    </row>
    <row r="9">
      <c r="A9" s="147"/>
    </row>
    <row r="10">
      <c r="A10" s="227" t="s">
        <v>127</v>
      </c>
      <c r="B10" s="149"/>
      <c r="C10" s="149"/>
      <c r="D10" s="149"/>
      <c r="E10" s="149"/>
      <c r="F10" s="149"/>
      <c r="G10" s="149"/>
      <c r="H10" s="149"/>
      <c r="I10" s="149"/>
      <c r="J10" s="149"/>
      <c r="K10" s="149"/>
    </row>
    <row r="11">
      <c r="A11" s="230" t="s">
        <v>1097</v>
      </c>
      <c r="B11" s="7"/>
      <c r="C11" s="7"/>
      <c r="D11" s="7"/>
      <c r="E11" s="7"/>
      <c r="F11" s="7"/>
      <c r="G11" s="232" t="s">
        <v>1099</v>
      </c>
      <c r="H11" s="7"/>
      <c r="I11" s="7"/>
      <c r="J11" s="7"/>
      <c r="K11" s="7"/>
    </row>
    <row r="12">
      <c r="A12" s="535" t="s">
        <v>1101</v>
      </c>
      <c r="B12" s="537">
        <v>1.0</v>
      </c>
      <c r="C12" s="535" t="s">
        <v>479</v>
      </c>
      <c r="D12" s="537" t="s">
        <v>10</v>
      </c>
      <c r="E12" s="535" t="s">
        <v>10</v>
      </c>
      <c r="F12" s="539" t="s">
        <v>10</v>
      </c>
      <c r="G12" s="539" t="s">
        <v>479</v>
      </c>
      <c r="H12" s="540" t="s">
        <v>10</v>
      </c>
      <c r="I12" s="539" t="s">
        <v>10</v>
      </c>
      <c r="J12" s="542" t="s">
        <v>10</v>
      </c>
      <c r="K12" s="539" t="s">
        <v>1102</v>
      </c>
    </row>
    <row r="13">
      <c r="A13" s="544" t="s">
        <v>1103</v>
      </c>
      <c r="B13" s="545">
        <v>1.0</v>
      </c>
      <c r="C13" s="547" t="s">
        <v>435</v>
      </c>
      <c r="D13" s="545">
        <v>3.0</v>
      </c>
      <c r="E13" s="544" t="s">
        <v>743</v>
      </c>
      <c r="F13" s="544" t="s">
        <v>603</v>
      </c>
      <c r="G13" s="544" t="s">
        <v>441</v>
      </c>
      <c r="H13" s="548">
        <v>1.0</v>
      </c>
      <c r="I13" s="544" t="s">
        <v>443</v>
      </c>
      <c r="J13" s="549" t="s">
        <v>445</v>
      </c>
      <c r="K13" s="544" t="s">
        <v>1106</v>
      </c>
    </row>
    <row r="14">
      <c r="A14" s="535" t="s">
        <v>1108</v>
      </c>
      <c r="B14" s="550">
        <v>2.0</v>
      </c>
      <c r="C14" s="539" t="s">
        <v>435</v>
      </c>
      <c r="D14" s="537">
        <v>3.0</v>
      </c>
      <c r="E14" s="535" t="s">
        <v>439</v>
      </c>
      <c r="F14" s="535" t="s">
        <v>603</v>
      </c>
      <c r="G14" s="535" t="s">
        <v>441</v>
      </c>
      <c r="H14" s="551">
        <v>1.0</v>
      </c>
      <c r="I14" s="535" t="s">
        <v>443</v>
      </c>
      <c r="J14" s="552" t="s">
        <v>1110</v>
      </c>
      <c r="K14" s="535" t="s">
        <v>1112</v>
      </c>
    </row>
    <row r="15">
      <c r="A15" s="544" t="s">
        <v>325</v>
      </c>
      <c r="B15" s="553">
        <v>3.0</v>
      </c>
      <c r="C15" s="544" t="s">
        <v>572</v>
      </c>
      <c r="D15" s="553">
        <v>6.0</v>
      </c>
      <c r="E15" s="544" t="s">
        <v>850</v>
      </c>
      <c r="F15" s="544" t="s">
        <v>603</v>
      </c>
      <c r="G15" s="544" t="s">
        <v>441</v>
      </c>
      <c r="H15" s="548">
        <v>1.0</v>
      </c>
      <c r="I15" s="544" t="s">
        <v>443</v>
      </c>
      <c r="J15" s="549" t="s">
        <v>445</v>
      </c>
      <c r="K15" s="547" t="s">
        <v>1114</v>
      </c>
    </row>
    <row r="16">
      <c r="A16" s="535" t="s">
        <v>1115</v>
      </c>
      <c r="B16" s="550">
        <v>4.0</v>
      </c>
      <c r="C16" s="535" t="s">
        <v>572</v>
      </c>
      <c r="D16" s="537">
        <v>4.0</v>
      </c>
      <c r="E16" s="535" t="s">
        <v>1010</v>
      </c>
      <c r="F16" s="535" t="s">
        <v>603</v>
      </c>
      <c r="G16" s="535" t="s">
        <v>441</v>
      </c>
      <c r="H16" s="551">
        <v>1.0</v>
      </c>
      <c r="I16" s="535" t="s">
        <v>443</v>
      </c>
      <c r="J16" s="542" t="s">
        <v>445</v>
      </c>
      <c r="K16" s="539" t="s">
        <v>1118</v>
      </c>
    </row>
    <row r="17">
      <c r="A17" s="544" t="s">
        <v>1119</v>
      </c>
      <c r="B17" s="545">
        <v>5.0</v>
      </c>
      <c r="C17" s="544" t="s">
        <v>556</v>
      </c>
      <c r="D17" s="545">
        <v>4.0</v>
      </c>
      <c r="E17" s="547" t="s">
        <v>439</v>
      </c>
      <c r="F17" s="544" t="s">
        <v>603</v>
      </c>
      <c r="G17" s="544" t="s">
        <v>441</v>
      </c>
      <c r="H17" s="548">
        <v>1.0</v>
      </c>
      <c r="I17" s="544" t="s">
        <v>443</v>
      </c>
      <c r="J17" s="549" t="s">
        <v>445</v>
      </c>
      <c r="K17" s="547" t="s">
        <v>1120</v>
      </c>
    </row>
    <row r="18">
      <c r="A18" s="535" t="s">
        <v>1121</v>
      </c>
      <c r="B18" s="537">
        <v>6.0</v>
      </c>
      <c r="C18" s="535" t="s">
        <v>479</v>
      </c>
      <c r="D18" s="537" t="s">
        <v>10</v>
      </c>
      <c r="E18" s="535" t="s">
        <v>10</v>
      </c>
      <c r="F18" s="539" t="s">
        <v>10</v>
      </c>
      <c r="G18" s="539" t="s">
        <v>479</v>
      </c>
      <c r="H18" s="551" t="s">
        <v>10</v>
      </c>
      <c r="I18" s="535" t="s">
        <v>10</v>
      </c>
      <c r="J18" s="542" t="s">
        <v>10</v>
      </c>
      <c r="K18" s="539" t="s">
        <v>1123</v>
      </c>
    </row>
    <row r="19">
      <c r="A19" s="555" t="s">
        <v>1125</v>
      </c>
      <c r="B19" s="556">
        <v>7.0</v>
      </c>
      <c r="C19" s="555" t="s">
        <v>556</v>
      </c>
      <c r="D19" s="556">
        <v>4.0</v>
      </c>
      <c r="E19" s="547" t="s">
        <v>693</v>
      </c>
      <c r="F19" s="555" t="s">
        <v>603</v>
      </c>
      <c r="G19" s="555" t="s">
        <v>441</v>
      </c>
      <c r="H19" s="558" t="s">
        <v>483</v>
      </c>
      <c r="I19" s="555" t="s">
        <v>576</v>
      </c>
      <c r="J19" s="559" t="s">
        <v>973</v>
      </c>
      <c r="K19" s="555" t="s">
        <v>1128</v>
      </c>
    </row>
    <row r="20">
      <c r="A20" s="560" t="s">
        <v>1130</v>
      </c>
      <c r="B20" s="561">
        <v>8.0</v>
      </c>
      <c r="C20" s="560" t="s">
        <v>506</v>
      </c>
      <c r="D20" s="561">
        <v>5.0</v>
      </c>
      <c r="E20" s="560" t="s">
        <v>636</v>
      </c>
      <c r="F20" s="560" t="s">
        <v>603</v>
      </c>
      <c r="G20" s="560" t="s">
        <v>441</v>
      </c>
      <c r="H20" s="562">
        <v>1.0</v>
      </c>
      <c r="I20" s="560" t="s">
        <v>443</v>
      </c>
      <c r="J20" s="563" t="s">
        <v>445</v>
      </c>
      <c r="K20" s="539" t="s">
        <v>1135</v>
      </c>
    </row>
    <row r="21">
      <c r="A21" s="555" t="s">
        <v>1136</v>
      </c>
      <c r="B21" s="556">
        <v>9.0</v>
      </c>
      <c r="C21" s="555" t="s">
        <v>506</v>
      </c>
      <c r="D21" s="556">
        <v>4.0</v>
      </c>
      <c r="E21" s="555" t="s">
        <v>1137</v>
      </c>
      <c r="F21" s="555" t="s">
        <v>603</v>
      </c>
      <c r="G21" s="555" t="s">
        <v>441</v>
      </c>
      <c r="H21" s="564">
        <v>1.0</v>
      </c>
      <c r="I21" s="555" t="s">
        <v>443</v>
      </c>
      <c r="J21" s="565" t="s">
        <v>649</v>
      </c>
      <c r="K21" s="547" t="s">
        <v>1140</v>
      </c>
    </row>
    <row r="22">
      <c r="A22" s="560" t="s">
        <v>1142</v>
      </c>
      <c r="B22" s="561">
        <v>10.0</v>
      </c>
      <c r="C22" s="560" t="s">
        <v>506</v>
      </c>
      <c r="D22" s="561">
        <v>5.0</v>
      </c>
      <c r="E22" s="560" t="s">
        <v>715</v>
      </c>
      <c r="F22" s="560" t="s">
        <v>603</v>
      </c>
      <c r="G22" s="560" t="s">
        <v>441</v>
      </c>
      <c r="H22" s="540">
        <v>1.0</v>
      </c>
      <c r="I22" s="560" t="s">
        <v>443</v>
      </c>
      <c r="J22" s="552" t="s">
        <v>1147</v>
      </c>
      <c r="K22" s="539" t="s">
        <v>1148</v>
      </c>
    </row>
    <row r="23">
      <c r="A23" s="227" t="s">
        <v>39</v>
      </c>
      <c r="B23" s="149"/>
      <c r="C23" s="149"/>
      <c r="D23" s="149"/>
      <c r="E23" s="149"/>
      <c r="F23" s="149"/>
      <c r="G23" s="149"/>
      <c r="H23" s="149"/>
      <c r="I23" s="149"/>
      <c r="J23" s="149"/>
      <c r="K23" s="149"/>
    </row>
    <row r="24">
      <c r="A24" s="230" t="s">
        <v>1154</v>
      </c>
      <c r="B24" s="7"/>
      <c r="C24" s="7"/>
      <c r="D24" s="7"/>
      <c r="E24" s="7"/>
      <c r="F24" s="7"/>
      <c r="G24" s="232" t="s">
        <v>1155</v>
      </c>
      <c r="H24" s="7"/>
      <c r="I24" s="7"/>
      <c r="J24" s="7"/>
      <c r="K24" s="7"/>
    </row>
    <row r="25">
      <c r="A25" s="576" t="s">
        <v>1158</v>
      </c>
      <c r="B25" s="578">
        <v>1.0</v>
      </c>
      <c r="C25" s="580" t="s">
        <v>435</v>
      </c>
      <c r="D25" s="578">
        <v>3.0</v>
      </c>
      <c r="E25" s="580" t="s">
        <v>1163</v>
      </c>
      <c r="F25" s="576" t="s">
        <v>603</v>
      </c>
      <c r="G25" s="576" t="s">
        <v>441</v>
      </c>
      <c r="H25" s="584" t="s">
        <v>483</v>
      </c>
      <c r="I25" s="576" t="s">
        <v>576</v>
      </c>
      <c r="J25" s="586" t="s">
        <v>973</v>
      </c>
      <c r="K25" s="589" t="s">
        <v>1165</v>
      </c>
    </row>
    <row r="26">
      <c r="A26" s="592" t="s">
        <v>1167</v>
      </c>
      <c r="B26" s="593">
        <v>2.0</v>
      </c>
      <c r="C26" s="596" t="s">
        <v>435</v>
      </c>
      <c r="D26" s="593">
        <v>4.0</v>
      </c>
      <c r="E26" s="592" t="s">
        <v>616</v>
      </c>
      <c r="F26" s="592" t="s">
        <v>603</v>
      </c>
      <c r="G26" s="592" t="s">
        <v>441</v>
      </c>
      <c r="H26" s="598">
        <v>1.0</v>
      </c>
      <c r="I26" s="592" t="s">
        <v>443</v>
      </c>
      <c r="J26" s="602" t="s">
        <v>847</v>
      </c>
      <c r="K26" s="596" t="s">
        <v>1183</v>
      </c>
    </row>
    <row r="27">
      <c r="A27" s="605" t="s">
        <v>1184</v>
      </c>
      <c r="B27" s="607">
        <v>3.0</v>
      </c>
      <c r="C27" s="605" t="s">
        <v>536</v>
      </c>
      <c r="D27" s="607">
        <v>4.0</v>
      </c>
      <c r="E27" s="605" t="s">
        <v>900</v>
      </c>
      <c r="F27" s="605" t="s">
        <v>603</v>
      </c>
      <c r="G27" s="605" t="s">
        <v>441</v>
      </c>
      <c r="H27" s="584" t="s">
        <v>483</v>
      </c>
      <c r="I27" s="605" t="s">
        <v>576</v>
      </c>
      <c r="J27" s="616" t="s">
        <v>1193</v>
      </c>
      <c r="K27" s="580" t="s">
        <v>10</v>
      </c>
    </row>
    <row r="28">
      <c r="A28" s="620" t="s">
        <v>1195</v>
      </c>
      <c r="B28" s="593">
        <v>4.0</v>
      </c>
      <c r="C28" s="596" t="s">
        <v>556</v>
      </c>
      <c r="D28" s="593" t="s">
        <v>10</v>
      </c>
      <c r="E28" s="620" t="s">
        <v>10</v>
      </c>
      <c r="F28" s="620" t="s">
        <v>10</v>
      </c>
      <c r="G28" s="596" t="s">
        <v>507</v>
      </c>
      <c r="H28" s="598" t="s">
        <v>10</v>
      </c>
      <c r="I28" s="620" t="s">
        <v>10</v>
      </c>
      <c r="J28" s="602" t="s">
        <v>445</v>
      </c>
      <c r="K28" s="596" t="s">
        <v>1203</v>
      </c>
    </row>
    <row r="29">
      <c r="A29" s="576" t="s">
        <v>40</v>
      </c>
      <c r="B29" s="578">
        <v>5.0</v>
      </c>
      <c r="C29" s="576" t="s">
        <v>572</v>
      </c>
      <c r="D29" s="578">
        <v>4.0</v>
      </c>
      <c r="E29" s="576" t="s">
        <v>616</v>
      </c>
      <c r="F29" s="605" t="s">
        <v>603</v>
      </c>
      <c r="G29" s="605" t="s">
        <v>441</v>
      </c>
      <c r="H29" s="630">
        <v>1.0</v>
      </c>
      <c r="I29" s="576" t="s">
        <v>443</v>
      </c>
      <c r="J29" s="616" t="s">
        <v>1215</v>
      </c>
      <c r="K29" s="580" t="s">
        <v>1217</v>
      </c>
    </row>
    <row r="30">
      <c r="A30" s="620" t="s">
        <v>1220</v>
      </c>
      <c r="B30" s="633">
        <v>6.0</v>
      </c>
      <c r="C30" s="620" t="s">
        <v>556</v>
      </c>
      <c r="D30" s="633">
        <v>5.0</v>
      </c>
      <c r="E30" s="620" t="s">
        <v>709</v>
      </c>
      <c r="F30" s="620" t="s">
        <v>603</v>
      </c>
      <c r="G30" s="620" t="s">
        <v>441</v>
      </c>
      <c r="H30" s="598">
        <v>1.0</v>
      </c>
      <c r="I30" s="620" t="s">
        <v>443</v>
      </c>
      <c r="J30" s="602" t="s">
        <v>1147</v>
      </c>
      <c r="K30" s="596" t="s">
        <v>1227</v>
      </c>
    </row>
    <row r="31">
      <c r="A31" s="605" t="s">
        <v>1229</v>
      </c>
      <c r="B31" s="607">
        <v>7.0</v>
      </c>
      <c r="C31" s="605" t="s">
        <v>506</v>
      </c>
      <c r="D31" s="607">
        <v>5.0</v>
      </c>
      <c r="E31" s="605" t="s">
        <v>966</v>
      </c>
      <c r="F31" s="639" t="s">
        <v>603</v>
      </c>
      <c r="G31" s="605" t="s">
        <v>441</v>
      </c>
      <c r="H31" s="584" t="s">
        <v>483</v>
      </c>
      <c r="I31" s="639" t="s">
        <v>576</v>
      </c>
      <c r="J31" s="641" t="s">
        <v>485</v>
      </c>
      <c r="K31" s="580" t="s">
        <v>1237</v>
      </c>
    </row>
    <row r="32">
      <c r="A32" s="596" t="s">
        <v>1238</v>
      </c>
      <c r="B32" s="593">
        <v>8.0</v>
      </c>
      <c r="C32" s="596" t="s">
        <v>491</v>
      </c>
      <c r="D32" s="593">
        <v>4.0</v>
      </c>
      <c r="E32" s="620" t="s">
        <v>709</v>
      </c>
      <c r="F32" s="620" t="s">
        <v>603</v>
      </c>
      <c r="G32" s="620" t="s">
        <v>441</v>
      </c>
      <c r="H32" s="646">
        <v>1.0</v>
      </c>
      <c r="I32" s="620" t="s">
        <v>443</v>
      </c>
      <c r="J32" s="648" t="s">
        <v>445</v>
      </c>
      <c r="K32" s="596" t="s">
        <v>1247</v>
      </c>
    </row>
    <row r="33">
      <c r="A33" s="576" t="s">
        <v>1249</v>
      </c>
      <c r="B33" s="578">
        <v>9.0</v>
      </c>
      <c r="C33" s="576" t="s">
        <v>506</v>
      </c>
      <c r="D33" s="578">
        <v>4.0</v>
      </c>
      <c r="E33" s="576" t="s">
        <v>636</v>
      </c>
      <c r="F33" s="605" t="s">
        <v>603</v>
      </c>
      <c r="G33" s="605" t="s">
        <v>441</v>
      </c>
      <c r="H33" s="584">
        <v>1.0</v>
      </c>
      <c r="I33" s="580" t="s">
        <v>443</v>
      </c>
      <c r="J33" s="616" t="s">
        <v>1256</v>
      </c>
      <c r="K33" s="580" t="s">
        <v>1258</v>
      </c>
    </row>
    <row r="34">
      <c r="A34" s="596" t="s">
        <v>1260</v>
      </c>
      <c r="B34" s="633">
        <v>10.0</v>
      </c>
      <c r="C34" s="620" t="s">
        <v>506</v>
      </c>
      <c r="D34" s="633">
        <v>5.0</v>
      </c>
      <c r="E34" s="596" t="s">
        <v>1263</v>
      </c>
      <c r="F34" s="620" t="s">
        <v>603</v>
      </c>
      <c r="G34" s="620" t="s">
        <v>441</v>
      </c>
      <c r="H34" s="598">
        <v>1.0</v>
      </c>
      <c r="I34" s="620" t="s">
        <v>443</v>
      </c>
      <c r="J34" s="602" t="s">
        <v>1147</v>
      </c>
      <c r="K34" s="596" t="s">
        <v>1268</v>
      </c>
    </row>
    <row r="35">
      <c r="A35" s="227" t="s">
        <v>1270</v>
      </c>
      <c r="B35" s="149"/>
      <c r="C35" s="149"/>
      <c r="D35" s="149"/>
      <c r="E35" s="149"/>
      <c r="F35" s="149"/>
      <c r="G35" s="149"/>
      <c r="H35" s="149"/>
      <c r="I35" s="149"/>
      <c r="J35" s="149"/>
      <c r="K35" s="149"/>
    </row>
    <row r="36">
      <c r="A36" s="230" t="s">
        <v>1285</v>
      </c>
      <c r="B36" s="7"/>
      <c r="C36" s="7"/>
      <c r="D36" s="7"/>
      <c r="E36" s="7"/>
      <c r="F36" s="7"/>
      <c r="G36" s="232" t="s">
        <v>1287</v>
      </c>
      <c r="H36" s="7"/>
      <c r="I36" s="7"/>
      <c r="J36" s="7"/>
      <c r="K36" s="7"/>
    </row>
    <row r="37">
      <c r="A37" s="664" t="s">
        <v>1290</v>
      </c>
      <c r="B37" s="666">
        <v>1.0</v>
      </c>
      <c r="C37" s="664" t="s">
        <v>479</v>
      </c>
      <c r="D37" s="666" t="s">
        <v>10</v>
      </c>
      <c r="E37" s="664" t="s">
        <v>10</v>
      </c>
      <c r="F37" s="668" t="s">
        <v>10</v>
      </c>
      <c r="G37" s="668" t="s">
        <v>479</v>
      </c>
      <c r="H37" s="670" t="s">
        <v>10</v>
      </c>
      <c r="I37" s="664" t="s">
        <v>10</v>
      </c>
      <c r="J37" s="672" t="s">
        <v>10</v>
      </c>
      <c r="K37" s="668" t="s">
        <v>1302</v>
      </c>
    </row>
    <row r="38">
      <c r="A38" s="674" t="s">
        <v>1305</v>
      </c>
      <c r="B38" s="676">
        <v>1.0</v>
      </c>
      <c r="C38" s="677" t="s">
        <v>435</v>
      </c>
      <c r="D38" s="682">
        <v>3.0</v>
      </c>
      <c r="E38" s="674" t="s">
        <v>743</v>
      </c>
      <c r="F38" s="674" t="s">
        <v>603</v>
      </c>
      <c r="G38" s="674" t="s">
        <v>441</v>
      </c>
      <c r="H38" s="686">
        <v>1.0</v>
      </c>
      <c r="I38" s="674" t="s">
        <v>443</v>
      </c>
      <c r="J38" s="688" t="s">
        <v>588</v>
      </c>
      <c r="K38" s="677" t="s">
        <v>1326</v>
      </c>
    </row>
    <row r="39">
      <c r="A39" s="664" t="s">
        <v>135</v>
      </c>
      <c r="B39" s="693">
        <v>1.0</v>
      </c>
      <c r="C39" s="668" t="s">
        <v>435</v>
      </c>
      <c r="D39" s="666" t="s">
        <v>10</v>
      </c>
      <c r="E39" s="664" t="s">
        <v>10</v>
      </c>
      <c r="F39" s="668" t="s">
        <v>10</v>
      </c>
      <c r="G39" s="664" t="s">
        <v>492</v>
      </c>
      <c r="H39" s="670">
        <v>1.0</v>
      </c>
      <c r="I39" s="668" t="s">
        <v>1330</v>
      </c>
      <c r="J39" s="672" t="s">
        <v>958</v>
      </c>
      <c r="K39" s="668" t="s">
        <v>1332</v>
      </c>
    </row>
    <row r="40">
      <c r="A40" s="674" t="s">
        <v>1335</v>
      </c>
      <c r="B40" s="676">
        <v>2.0</v>
      </c>
      <c r="C40" s="674" t="s">
        <v>572</v>
      </c>
      <c r="D40" s="682">
        <v>3.0</v>
      </c>
      <c r="E40" s="677" t="s">
        <v>1338</v>
      </c>
      <c r="F40" s="674" t="s">
        <v>603</v>
      </c>
      <c r="G40" s="674" t="s">
        <v>441</v>
      </c>
      <c r="H40" s="686">
        <v>1.0</v>
      </c>
      <c r="I40" s="674" t="s">
        <v>443</v>
      </c>
      <c r="J40" s="688" t="s">
        <v>958</v>
      </c>
      <c r="K40" s="677" t="s">
        <v>1340</v>
      </c>
    </row>
    <row r="41">
      <c r="A41" s="664" t="s">
        <v>1342</v>
      </c>
      <c r="B41" s="666">
        <v>3.0</v>
      </c>
      <c r="C41" s="664" t="s">
        <v>572</v>
      </c>
      <c r="D41" s="666" t="s">
        <v>1344</v>
      </c>
      <c r="E41" s="668" t="s">
        <v>616</v>
      </c>
      <c r="F41" s="664" t="s">
        <v>603</v>
      </c>
      <c r="G41" s="664" t="s">
        <v>441</v>
      </c>
      <c r="H41" s="670">
        <v>1.0</v>
      </c>
      <c r="I41" s="664" t="s">
        <v>443</v>
      </c>
      <c r="J41" s="672" t="s">
        <v>544</v>
      </c>
      <c r="K41" s="668" t="s">
        <v>1351</v>
      </c>
    </row>
    <row r="42">
      <c r="A42" s="674" t="s">
        <v>1352</v>
      </c>
      <c r="B42" s="676">
        <v>4.0</v>
      </c>
      <c r="C42" s="674" t="s">
        <v>556</v>
      </c>
      <c r="D42" s="682">
        <v>4.0</v>
      </c>
      <c r="E42" s="677" t="s">
        <v>1355</v>
      </c>
      <c r="F42" s="674" t="s">
        <v>603</v>
      </c>
      <c r="G42" s="674" t="s">
        <v>441</v>
      </c>
      <c r="H42" s="686">
        <v>1.0</v>
      </c>
      <c r="I42" s="674" t="s">
        <v>443</v>
      </c>
      <c r="J42" s="688" t="s">
        <v>544</v>
      </c>
      <c r="K42" s="677" t="s">
        <v>1358</v>
      </c>
    </row>
    <row r="43">
      <c r="A43" s="664" t="s">
        <v>1361</v>
      </c>
      <c r="B43" s="666">
        <v>5.0</v>
      </c>
      <c r="C43" s="664" t="s">
        <v>556</v>
      </c>
      <c r="D43" s="693">
        <v>4.0</v>
      </c>
      <c r="E43" s="664" t="s">
        <v>709</v>
      </c>
      <c r="F43" s="664" t="s">
        <v>603</v>
      </c>
      <c r="G43" s="664" t="s">
        <v>441</v>
      </c>
      <c r="H43" s="670">
        <v>1.0</v>
      </c>
      <c r="I43" s="664" t="s">
        <v>443</v>
      </c>
      <c r="J43" s="712" t="s">
        <v>1362</v>
      </c>
      <c r="K43" s="668" t="s">
        <v>1365</v>
      </c>
    </row>
    <row r="44">
      <c r="A44" s="677" t="s">
        <v>1369</v>
      </c>
      <c r="B44" s="676">
        <v>6.0</v>
      </c>
      <c r="C44" s="674" t="s">
        <v>556</v>
      </c>
      <c r="D44" s="676">
        <v>4.0</v>
      </c>
      <c r="E44" s="677" t="s">
        <v>1372</v>
      </c>
      <c r="F44" s="674" t="s">
        <v>603</v>
      </c>
      <c r="G44" s="674" t="s">
        <v>441</v>
      </c>
      <c r="H44" s="715" t="s">
        <v>483</v>
      </c>
      <c r="I44" s="674" t="s">
        <v>576</v>
      </c>
      <c r="J44" s="688" t="s">
        <v>485</v>
      </c>
      <c r="K44" s="677" t="s">
        <v>1377</v>
      </c>
    </row>
    <row r="45">
      <c r="A45" s="664" t="s">
        <v>1379</v>
      </c>
      <c r="B45" s="666">
        <v>7.0</v>
      </c>
      <c r="C45" s="664" t="s">
        <v>536</v>
      </c>
      <c r="D45" s="693">
        <v>4.0</v>
      </c>
      <c r="E45" s="664" t="s">
        <v>715</v>
      </c>
      <c r="F45" s="664" t="s">
        <v>603</v>
      </c>
      <c r="G45" s="668" t="s">
        <v>441</v>
      </c>
      <c r="H45" s="670">
        <v>1.0</v>
      </c>
      <c r="I45" s="664" t="s">
        <v>443</v>
      </c>
      <c r="J45" s="712" t="s">
        <v>1383</v>
      </c>
      <c r="K45" s="668" t="s">
        <v>1384</v>
      </c>
    </row>
    <row r="46">
      <c r="A46" s="674" t="s">
        <v>1386</v>
      </c>
      <c r="B46" s="676">
        <v>8.0</v>
      </c>
      <c r="C46" s="674" t="s">
        <v>608</v>
      </c>
      <c r="D46" s="682">
        <v>4.0</v>
      </c>
      <c r="E46" s="674" t="s">
        <v>966</v>
      </c>
      <c r="F46" s="674" t="s">
        <v>603</v>
      </c>
      <c r="G46" s="674" t="s">
        <v>441</v>
      </c>
      <c r="H46" s="715" t="s">
        <v>483</v>
      </c>
      <c r="I46" s="674" t="s">
        <v>576</v>
      </c>
      <c r="J46" s="725" t="s">
        <v>1198</v>
      </c>
      <c r="K46" s="677" t="s">
        <v>1394</v>
      </c>
    </row>
    <row r="47">
      <c r="A47" s="664" t="s">
        <v>1396</v>
      </c>
      <c r="B47" s="666">
        <v>9.0</v>
      </c>
      <c r="C47" s="664" t="s">
        <v>506</v>
      </c>
      <c r="D47" s="666">
        <v>5.0</v>
      </c>
      <c r="E47" s="668" t="s">
        <v>715</v>
      </c>
      <c r="F47" s="664" t="s">
        <v>603</v>
      </c>
      <c r="G47" s="664" t="s">
        <v>441</v>
      </c>
      <c r="H47" s="670">
        <v>1.0</v>
      </c>
      <c r="I47" s="664" t="s">
        <v>443</v>
      </c>
      <c r="J47" s="672" t="s">
        <v>588</v>
      </c>
      <c r="K47" s="668" t="s">
        <v>1398</v>
      </c>
    </row>
    <row r="48">
      <c r="A48" s="732" t="s">
        <v>1402</v>
      </c>
      <c r="B48" s="734">
        <v>10.0</v>
      </c>
      <c r="C48" s="732" t="s">
        <v>506</v>
      </c>
      <c r="D48" s="734">
        <v>5.0</v>
      </c>
      <c r="E48" s="732" t="s">
        <v>1410</v>
      </c>
      <c r="F48" s="732" t="s">
        <v>603</v>
      </c>
      <c r="G48" s="732" t="s">
        <v>441</v>
      </c>
      <c r="H48" s="738">
        <v>1.0</v>
      </c>
      <c r="I48" s="732" t="s">
        <v>443</v>
      </c>
      <c r="J48" s="740" t="s">
        <v>588</v>
      </c>
      <c r="K48" s="744" t="s">
        <v>1417</v>
      </c>
    </row>
  </sheetData>
  <mergeCells count="19">
    <mergeCell ref="A1:A2"/>
    <mergeCell ref="B1:B2"/>
    <mergeCell ref="C1:C2"/>
    <mergeCell ref="D1:D2"/>
    <mergeCell ref="E1:G1"/>
    <mergeCell ref="H1:J1"/>
    <mergeCell ref="K1:K2"/>
    <mergeCell ref="A24:F24"/>
    <mergeCell ref="G24:K24"/>
    <mergeCell ref="A35:K35"/>
    <mergeCell ref="A36:F36"/>
    <mergeCell ref="G36:K36"/>
    <mergeCell ref="A3:K3"/>
    <mergeCell ref="A8:K8"/>
    <mergeCell ref="A9:K9"/>
    <mergeCell ref="A10:K10"/>
    <mergeCell ref="A11:F11"/>
    <mergeCell ref="G11:K11"/>
    <mergeCell ref="A23:K23"/>
  </mergeCell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4" max="4" width="3.88"/>
    <col customWidth="1" min="5" max="5" width="9.88"/>
    <col customWidth="1" min="6" max="6" width="9.25"/>
    <col customWidth="1" min="7" max="7" width="10.88"/>
    <col customWidth="1" min="8" max="8" width="9.13"/>
    <col customWidth="1" min="9" max="9" width="8.0"/>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87"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269" t="s">
        <v>1126</v>
      </c>
      <c r="B8" s="37"/>
      <c r="C8" s="37"/>
      <c r="D8" s="37"/>
      <c r="E8" s="37"/>
      <c r="F8" s="37"/>
      <c r="G8" s="37"/>
      <c r="H8" s="37"/>
      <c r="I8" s="37"/>
      <c r="J8" s="37"/>
      <c r="K8" s="37"/>
    </row>
    <row r="9">
      <c r="A9" s="147"/>
    </row>
    <row r="10">
      <c r="A10" s="227" t="s">
        <v>1133</v>
      </c>
      <c r="B10" s="149"/>
      <c r="C10" s="149"/>
      <c r="D10" s="149"/>
      <c r="E10" s="149"/>
      <c r="F10" s="149"/>
      <c r="G10" s="149"/>
      <c r="H10" s="149"/>
      <c r="I10" s="149"/>
      <c r="J10" s="149"/>
      <c r="K10" s="149"/>
    </row>
    <row r="11">
      <c r="A11" s="230" t="s">
        <v>1138</v>
      </c>
      <c r="B11" s="7"/>
      <c r="C11" s="7"/>
      <c r="D11" s="7"/>
      <c r="E11" s="7"/>
      <c r="F11" s="7"/>
      <c r="G11" s="232" t="s">
        <v>1141</v>
      </c>
      <c r="H11" s="7"/>
      <c r="I11" s="7"/>
      <c r="J11" s="7"/>
      <c r="K11" s="7"/>
    </row>
    <row r="12">
      <c r="A12" s="566" t="s">
        <v>1145</v>
      </c>
      <c r="B12" s="567">
        <v>1.0</v>
      </c>
      <c r="C12" s="566" t="s">
        <v>435</v>
      </c>
      <c r="D12" s="567" t="s">
        <v>10</v>
      </c>
      <c r="E12" s="569" t="s">
        <v>984</v>
      </c>
      <c r="F12" s="566" t="s">
        <v>10</v>
      </c>
      <c r="G12" s="566" t="s">
        <v>565</v>
      </c>
      <c r="H12" s="571" t="s">
        <v>10</v>
      </c>
      <c r="I12" s="566" t="s">
        <v>451</v>
      </c>
      <c r="J12" s="573" t="s">
        <v>10</v>
      </c>
      <c r="K12" s="577" t="s">
        <v>1159</v>
      </c>
    </row>
    <row r="13">
      <c r="A13" s="581" t="s">
        <v>1162</v>
      </c>
      <c r="B13" s="583">
        <v>1.0</v>
      </c>
      <c r="C13" s="581" t="s">
        <v>435</v>
      </c>
      <c r="D13" s="583">
        <v>2.0</v>
      </c>
      <c r="E13" s="581" t="s">
        <v>743</v>
      </c>
      <c r="F13" s="581" t="s">
        <v>603</v>
      </c>
      <c r="G13" s="581" t="s">
        <v>441</v>
      </c>
      <c r="H13" s="588">
        <v>1.0</v>
      </c>
      <c r="I13" s="581" t="s">
        <v>443</v>
      </c>
      <c r="J13" s="591" t="s">
        <v>445</v>
      </c>
      <c r="K13" s="594" t="s">
        <v>1170</v>
      </c>
    </row>
    <row r="14">
      <c r="A14" s="566" t="s">
        <v>1173</v>
      </c>
      <c r="B14" s="567">
        <v>2.0</v>
      </c>
      <c r="C14" s="566" t="s">
        <v>572</v>
      </c>
      <c r="D14" s="567">
        <v>3.0</v>
      </c>
      <c r="E14" s="566" t="s">
        <v>1175</v>
      </c>
      <c r="F14" s="566" t="s">
        <v>603</v>
      </c>
      <c r="G14" s="566" t="s">
        <v>441</v>
      </c>
      <c r="H14" s="599">
        <v>1.0</v>
      </c>
      <c r="I14" s="566" t="s">
        <v>443</v>
      </c>
      <c r="J14" s="573" t="s">
        <v>445</v>
      </c>
      <c r="K14" s="577" t="s">
        <v>1180</v>
      </c>
    </row>
    <row r="15">
      <c r="A15" s="603" t="s">
        <v>1182</v>
      </c>
      <c r="B15" s="583">
        <v>3.0</v>
      </c>
      <c r="C15" s="603" t="s">
        <v>608</v>
      </c>
      <c r="D15" s="583">
        <v>3.0</v>
      </c>
      <c r="E15" s="608" t="s">
        <v>679</v>
      </c>
      <c r="F15" s="603" t="s">
        <v>603</v>
      </c>
      <c r="G15" s="603" t="s">
        <v>441</v>
      </c>
      <c r="H15" s="588">
        <v>1.0</v>
      </c>
      <c r="I15" s="603" t="s">
        <v>443</v>
      </c>
      <c r="J15" s="611" t="s">
        <v>544</v>
      </c>
      <c r="K15" s="594" t="s">
        <v>1189</v>
      </c>
    </row>
    <row r="16">
      <c r="A16" s="566" t="s">
        <v>1191</v>
      </c>
      <c r="B16" s="614">
        <v>4.0</v>
      </c>
      <c r="C16" s="569" t="s">
        <v>572</v>
      </c>
      <c r="D16" s="567" t="s">
        <v>10</v>
      </c>
      <c r="E16" s="566" t="s">
        <v>10</v>
      </c>
      <c r="F16" s="566" t="s">
        <v>10</v>
      </c>
      <c r="G16" s="566" t="s">
        <v>507</v>
      </c>
      <c r="H16" s="571" t="s">
        <v>10</v>
      </c>
      <c r="I16" s="566" t="s">
        <v>451</v>
      </c>
      <c r="J16" s="573" t="s">
        <v>10</v>
      </c>
      <c r="K16" s="577" t="s">
        <v>1196</v>
      </c>
    </row>
    <row r="17">
      <c r="A17" s="603" t="s">
        <v>1197</v>
      </c>
      <c r="B17" s="623">
        <v>5.0</v>
      </c>
      <c r="C17" s="603" t="s">
        <v>608</v>
      </c>
      <c r="D17" s="623">
        <v>3.0</v>
      </c>
      <c r="E17" s="603" t="s">
        <v>627</v>
      </c>
      <c r="F17" s="603" t="s">
        <v>603</v>
      </c>
      <c r="G17" s="603" t="s">
        <v>441</v>
      </c>
      <c r="H17" s="627" t="s">
        <v>483</v>
      </c>
      <c r="I17" s="603" t="s">
        <v>576</v>
      </c>
      <c r="J17" s="629" t="s">
        <v>726</v>
      </c>
      <c r="K17" s="594" t="s">
        <v>1210</v>
      </c>
    </row>
    <row r="18">
      <c r="A18" s="566" t="s">
        <v>1212</v>
      </c>
      <c r="B18" s="567">
        <v>6.0</v>
      </c>
      <c r="C18" s="566" t="s">
        <v>556</v>
      </c>
      <c r="D18" s="567">
        <v>4.0</v>
      </c>
      <c r="E18" s="569" t="s">
        <v>1214</v>
      </c>
      <c r="F18" s="566" t="s">
        <v>603</v>
      </c>
      <c r="G18" s="566" t="s">
        <v>441</v>
      </c>
      <c r="H18" s="599">
        <v>1.0</v>
      </c>
      <c r="I18" s="566" t="s">
        <v>443</v>
      </c>
      <c r="J18" s="573" t="s">
        <v>510</v>
      </c>
      <c r="K18" s="577" t="s">
        <v>1221</v>
      </c>
    </row>
    <row r="19">
      <c r="A19" s="603" t="s">
        <v>1222</v>
      </c>
      <c r="B19" s="634">
        <v>7.0</v>
      </c>
      <c r="C19" s="603" t="s">
        <v>556</v>
      </c>
      <c r="D19" s="623" t="s">
        <v>10</v>
      </c>
      <c r="E19" s="603" t="s">
        <v>10</v>
      </c>
      <c r="F19" s="581" t="s">
        <v>10</v>
      </c>
      <c r="G19" s="581" t="s">
        <v>1228</v>
      </c>
      <c r="H19" s="637" t="s">
        <v>10</v>
      </c>
      <c r="I19" s="603" t="s">
        <v>451</v>
      </c>
      <c r="J19" s="629" t="s">
        <v>10</v>
      </c>
      <c r="K19" s="594" t="s">
        <v>1232</v>
      </c>
    </row>
    <row r="20">
      <c r="A20" s="566" t="s">
        <v>1234</v>
      </c>
      <c r="B20" s="567">
        <v>8.0</v>
      </c>
      <c r="C20" s="566" t="s">
        <v>556</v>
      </c>
      <c r="D20" s="567">
        <v>4.0</v>
      </c>
      <c r="E20" s="566" t="s">
        <v>966</v>
      </c>
      <c r="F20" s="566" t="s">
        <v>603</v>
      </c>
      <c r="G20" s="566" t="s">
        <v>441</v>
      </c>
      <c r="H20" s="599" t="s">
        <v>483</v>
      </c>
      <c r="I20" s="566" t="s">
        <v>576</v>
      </c>
      <c r="J20" s="573" t="s">
        <v>930</v>
      </c>
      <c r="K20" s="577" t="s">
        <v>1241</v>
      </c>
    </row>
    <row r="21">
      <c r="A21" s="581" t="s">
        <v>1242</v>
      </c>
      <c r="B21" s="583">
        <v>9.0</v>
      </c>
      <c r="C21" s="581" t="s">
        <v>506</v>
      </c>
      <c r="D21" s="583">
        <v>4.0</v>
      </c>
      <c r="E21" s="581" t="s">
        <v>876</v>
      </c>
      <c r="F21" s="581" t="s">
        <v>603</v>
      </c>
      <c r="G21" s="581" t="s">
        <v>441</v>
      </c>
      <c r="H21" s="588">
        <v>1.0</v>
      </c>
      <c r="I21" s="581" t="s">
        <v>443</v>
      </c>
      <c r="J21" s="591" t="s">
        <v>619</v>
      </c>
      <c r="K21" s="594" t="s">
        <v>1243</v>
      </c>
    </row>
    <row r="22">
      <c r="A22" s="566" t="s">
        <v>1245</v>
      </c>
      <c r="B22" s="567">
        <v>10.0</v>
      </c>
      <c r="C22" s="566" t="s">
        <v>506</v>
      </c>
      <c r="D22" s="567">
        <v>5.0</v>
      </c>
      <c r="E22" s="569" t="s">
        <v>439</v>
      </c>
      <c r="F22" s="566" t="s">
        <v>603</v>
      </c>
      <c r="G22" s="566" t="s">
        <v>441</v>
      </c>
      <c r="H22" s="599">
        <v>1.0</v>
      </c>
      <c r="I22" s="566" t="s">
        <v>443</v>
      </c>
      <c r="J22" s="573" t="s">
        <v>445</v>
      </c>
      <c r="K22" s="577" t="s">
        <v>1252</v>
      </c>
    </row>
    <row r="23">
      <c r="A23" s="227" t="s">
        <v>1253</v>
      </c>
      <c r="B23" s="149"/>
      <c r="C23" s="149"/>
      <c r="D23" s="149"/>
      <c r="E23" s="149"/>
      <c r="F23" s="149"/>
      <c r="G23" s="149"/>
      <c r="H23" s="149"/>
      <c r="I23" s="149"/>
      <c r="J23" s="149"/>
      <c r="K23" s="149"/>
    </row>
    <row r="24">
      <c r="A24" s="230" t="s">
        <v>1265</v>
      </c>
      <c r="B24" s="7"/>
      <c r="C24" s="7"/>
      <c r="D24" s="7"/>
      <c r="E24" s="7"/>
      <c r="F24" s="7"/>
      <c r="G24" s="232" t="s">
        <v>1272</v>
      </c>
      <c r="H24" s="7"/>
      <c r="I24" s="7"/>
      <c r="J24" s="7"/>
      <c r="K24" s="7"/>
    </row>
    <row r="25">
      <c r="A25" s="658" t="s">
        <v>1278</v>
      </c>
      <c r="B25" s="659">
        <v>1.0</v>
      </c>
      <c r="C25" s="658" t="s">
        <v>479</v>
      </c>
      <c r="D25" s="659" t="s">
        <v>10</v>
      </c>
      <c r="E25" s="658" t="s">
        <v>10</v>
      </c>
      <c r="F25" s="658" t="s">
        <v>10</v>
      </c>
      <c r="G25" s="658" t="s">
        <v>479</v>
      </c>
      <c r="H25" s="660" t="s">
        <v>10</v>
      </c>
      <c r="I25" s="658" t="s">
        <v>10</v>
      </c>
      <c r="J25" s="661" t="s">
        <v>10</v>
      </c>
      <c r="K25" s="662" t="s">
        <v>1288</v>
      </c>
    </row>
    <row r="26">
      <c r="A26" s="663" t="s">
        <v>1289</v>
      </c>
      <c r="B26" s="665">
        <v>1.0</v>
      </c>
      <c r="C26" s="663" t="s">
        <v>435</v>
      </c>
      <c r="D26" s="665">
        <v>3.0</v>
      </c>
      <c r="E26" s="663" t="s">
        <v>1293</v>
      </c>
      <c r="F26" s="663" t="s">
        <v>657</v>
      </c>
      <c r="G26" s="663" t="s">
        <v>441</v>
      </c>
      <c r="H26" s="667">
        <v>1.0</v>
      </c>
      <c r="I26" s="663" t="s">
        <v>443</v>
      </c>
      <c r="J26" s="669" t="s">
        <v>1295</v>
      </c>
      <c r="K26" s="663" t="s">
        <v>1299</v>
      </c>
    </row>
    <row r="27">
      <c r="A27" s="658" t="s">
        <v>1300</v>
      </c>
      <c r="B27" s="659">
        <v>2.0</v>
      </c>
      <c r="C27" s="658" t="s">
        <v>572</v>
      </c>
      <c r="D27" s="659">
        <v>2.0</v>
      </c>
      <c r="E27" s="658" t="s">
        <v>1301</v>
      </c>
      <c r="F27" s="658" t="s">
        <v>657</v>
      </c>
      <c r="G27" s="658" t="s">
        <v>441</v>
      </c>
      <c r="H27" s="660" t="s">
        <v>483</v>
      </c>
      <c r="I27" s="658" t="s">
        <v>576</v>
      </c>
      <c r="J27" s="661" t="s">
        <v>485</v>
      </c>
      <c r="K27" s="658" t="s">
        <v>1303</v>
      </c>
    </row>
    <row r="28">
      <c r="A28" s="663" t="s">
        <v>1306</v>
      </c>
      <c r="B28" s="665">
        <v>3.0</v>
      </c>
      <c r="C28" s="663" t="s">
        <v>608</v>
      </c>
      <c r="D28" s="665">
        <v>4.0</v>
      </c>
      <c r="E28" s="663" t="s">
        <v>1308</v>
      </c>
      <c r="F28" s="663" t="s">
        <v>657</v>
      </c>
      <c r="G28" s="663" t="s">
        <v>441</v>
      </c>
      <c r="H28" s="667">
        <v>1.0</v>
      </c>
      <c r="I28" s="663" t="s">
        <v>443</v>
      </c>
      <c r="J28" s="678" t="s">
        <v>958</v>
      </c>
      <c r="K28" s="663" t="s">
        <v>1312</v>
      </c>
    </row>
    <row r="29">
      <c r="A29" s="658" t="s">
        <v>1314</v>
      </c>
      <c r="B29" s="659">
        <v>4.0</v>
      </c>
      <c r="C29" s="658" t="s">
        <v>435</v>
      </c>
      <c r="D29" s="659" t="s">
        <v>10</v>
      </c>
      <c r="E29" s="658" t="s">
        <v>10</v>
      </c>
      <c r="F29" s="658" t="s">
        <v>10</v>
      </c>
      <c r="G29" s="658" t="s">
        <v>492</v>
      </c>
      <c r="H29" s="660">
        <v>1.0</v>
      </c>
      <c r="I29" s="658" t="s">
        <v>493</v>
      </c>
      <c r="J29" s="661" t="s">
        <v>701</v>
      </c>
      <c r="K29" s="658" t="s">
        <v>1315</v>
      </c>
    </row>
    <row r="30">
      <c r="A30" s="663" t="s">
        <v>1316</v>
      </c>
      <c r="B30" s="665">
        <v>4.0</v>
      </c>
      <c r="C30" s="663" t="s">
        <v>435</v>
      </c>
      <c r="D30" s="665" t="s">
        <v>10</v>
      </c>
      <c r="E30" s="663" t="s">
        <v>10</v>
      </c>
      <c r="F30" s="663" t="s">
        <v>10</v>
      </c>
      <c r="G30" s="663" t="s">
        <v>492</v>
      </c>
      <c r="H30" s="667">
        <v>1.0</v>
      </c>
      <c r="I30" s="663" t="s">
        <v>443</v>
      </c>
      <c r="J30" s="678" t="s">
        <v>701</v>
      </c>
      <c r="K30" s="684" t="s">
        <v>1319</v>
      </c>
    </row>
    <row r="31">
      <c r="A31" s="658" t="s">
        <v>1321</v>
      </c>
      <c r="B31" s="659">
        <v>5.0</v>
      </c>
      <c r="C31" s="658" t="s">
        <v>491</v>
      </c>
      <c r="D31" s="659">
        <v>4.0</v>
      </c>
      <c r="E31" s="658" t="s">
        <v>1323</v>
      </c>
      <c r="F31" s="658" t="s">
        <v>657</v>
      </c>
      <c r="G31" s="658" t="s">
        <v>441</v>
      </c>
      <c r="H31" s="660">
        <v>2.0</v>
      </c>
      <c r="I31" s="658" t="s">
        <v>576</v>
      </c>
      <c r="J31" s="690" t="s">
        <v>1325</v>
      </c>
      <c r="K31" s="658" t="s">
        <v>1327</v>
      </c>
    </row>
    <row r="32">
      <c r="A32" s="663" t="s">
        <v>1328</v>
      </c>
      <c r="B32" s="665">
        <v>6.0</v>
      </c>
      <c r="C32" s="663" t="s">
        <v>556</v>
      </c>
      <c r="D32" s="665">
        <v>4.0</v>
      </c>
      <c r="E32" s="663" t="s">
        <v>1329</v>
      </c>
      <c r="F32" s="663" t="s">
        <v>657</v>
      </c>
      <c r="G32" s="663" t="s">
        <v>441</v>
      </c>
      <c r="H32" s="667">
        <v>1.0</v>
      </c>
      <c r="I32" s="663" t="s">
        <v>443</v>
      </c>
      <c r="J32" s="678" t="s">
        <v>510</v>
      </c>
      <c r="K32" s="663" t="s">
        <v>1331</v>
      </c>
    </row>
    <row r="33">
      <c r="A33" s="658" t="s">
        <v>1333</v>
      </c>
      <c r="B33" s="659">
        <v>7.0</v>
      </c>
      <c r="C33" s="658" t="s">
        <v>491</v>
      </c>
      <c r="D33" s="659">
        <v>4.0</v>
      </c>
      <c r="E33" s="658" t="s">
        <v>1337</v>
      </c>
      <c r="F33" s="658" t="s">
        <v>657</v>
      </c>
      <c r="G33" s="658" t="s">
        <v>441</v>
      </c>
      <c r="H33" s="660">
        <v>1.0</v>
      </c>
      <c r="I33" s="658" t="s">
        <v>443</v>
      </c>
      <c r="J33" s="661" t="s">
        <v>830</v>
      </c>
      <c r="K33" s="662" t="s">
        <v>1341</v>
      </c>
    </row>
    <row r="34">
      <c r="A34" s="663" t="s">
        <v>1343</v>
      </c>
      <c r="B34" s="665">
        <v>8.0</v>
      </c>
      <c r="C34" s="663" t="s">
        <v>506</v>
      </c>
      <c r="D34" s="665" t="s">
        <v>10</v>
      </c>
      <c r="E34" s="663" t="s">
        <v>1346</v>
      </c>
      <c r="F34" s="663" t="s">
        <v>10</v>
      </c>
      <c r="G34" s="663" t="s">
        <v>947</v>
      </c>
      <c r="H34" s="667">
        <v>1.0</v>
      </c>
      <c r="I34" s="663" t="s">
        <v>557</v>
      </c>
      <c r="J34" s="678" t="s">
        <v>494</v>
      </c>
      <c r="K34" s="663" t="s">
        <v>1349</v>
      </c>
    </row>
    <row r="35">
      <c r="A35" s="658" t="s">
        <v>1350</v>
      </c>
      <c r="B35" s="659">
        <v>9.0</v>
      </c>
      <c r="C35" s="658" t="s">
        <v>506</v>
      </c>
      <c r="D35" s="659" t="s">
        <v>10</v>
      </c>
      <c r="E35" s="658" t="s">
        <v>10</v>
      </c>
      <c r="F35" s="658" t="s">
        <v>10</v>
      </c>
      <c r="G35" s="658" t="s">
        <v>441</v>
      </c>
      <c r="H35" s="660" t="s">
        <v>483</v>
      </c>
      <c r="I35" s="658" t="s">
        <v>484</v>
      </c>
      <c r="J35" s="661" t="s">
        <v>930</v>
      </c>
      <c r="K35" s="658" t="s">
        <v>1357</v>
      </c>
    </row>
    <row r="36">
      <c r="A36" s="663" t="s">
        <v>1359</v>
      </c>
      <c r="B36" s="665">
        <v>10.0</v>
      </c>
      <c r="C36" s="663" t="s">
        <v>506</v>
      </c>
      <c r="D36" s="710">
        <v>4.0</v>
      </c>
      <c r="E36" s="684" t="s">
        <v>1065</v>
      </c>
      <c r="F36" s="663" t="s">
        <v>657</v>
      </c>
      <c r="G36" s="663" t="s">
        <v>441</v>
      </c>
      <c r="H36" s="667">
        <v>1.0</v>
      </c>
      <c r="I36" s="663" t="s">
        <v>443</v>
      </c>
      <c r="J36" s="678" t="s">
        <v>544</v>
      </c>
      <c r="K36" s="663" t="s">
        <v>1363</v>
      </c>
    </row>
    <row r="37">
      <c r="A37" s="227" t="s">
        <v>1367</v>
      </c>
      <c r="B37" s="149"/>
      <c r="C37" s="149"/>
      <c r="D37" s="149"/>
      <c r="E37" s="149"/>
      <c r="F37" s="149"/>
      <c r="G37" s="149"/>
      <c r="H37" s="149"/>
      <c r="I37" s="149"/>
      <c r="J37" s="149"/>
      <c r="K37" s="149"/>
    </row>
    <row r="38">
      <c r="A38" s="230" t="s">
        <v>1373</v>
      </c>
      <c r="B38" s="7"/>
      <c r="C38" s="7"/>
      <c r="D38" s="7"/>
      <c r="E38" s="7"/>
      <c r="F38" s="7"/>
      <c r="G38" s="232" t="s">
        <v>1375</v>
      </c>
      <c r="H38" s="7"/>
      <c r="I38" s="7"/>
      <c r="J38" s="7"/>
      <c r="K38" s="7"/>
    </row>
    <row r="39">
      <c r="A39" s="718" t="s">
        <v>1381</v>
      </c>
      <c r="B39" s="720">
        <v>1.0</v>
      </c>
      <c r="C39" s="721" t="s">
        <v>435</v>
      </c>
      <c r="D39" s="720" t="s">
        <v>10</v>
      </c>
      <c r="E39" s="718" t="s">
        <v>10</v>
      </c>
      <c r="F39" s="718" t="s">
        <v>10</v>
      </c>
      <c r="G39" s="718" t="s">
        <v>441</v>
      </c>
      <c r="H39" s="722">
        <v>1.0</v>
      </c>
      <c r="I39" s="718" t="s">
        <v>493</v>
      </c>
      <c r="J39" s="723" t="s">
        <v>588</v>
      </c>
      <c r="K39" s="724" t="s">
        <v>1390</v>
      </c>
    </row>
    <row r="40">
      <c r="A40" s="726" t="s">
        <v>1391</v>
      </c>
      <c r="B40" s="727">
        <v>1.0</v>
      </c>
      <c r="C40" s="729" t="s">
        <v>435</v>
      </c>
      <c r="D40" s="727">
        <v>3.0</v>
      </c>
      <c r="E40" s="731" t="s">
        <v>601</v>
      </c>
      <c r="F40" s="731" t="s">
        <v>657</v>
      </c>
      <c r="G40" s="726" t="s">
        <v>441</v>
      </c>
      <c r="H40" s="733">
        <v>1.0</v>
      </c>
      <c r="I40" s="726" t="s">
        <v>443</v>
      </c>
      <c r="J40" s="735" t="s">
        <v>701</v>
      </c>
      <c r="K40" s="729" t="s">
        <v>1409</v>
      </c>
    </row>
    <row r="41">
      <c r="A41" s="718" t="s">
        <v>1411</v>
      </c>
      <c r="B41" s="736">
        <v>2.0</v>
      </c>
      <c r="C41" s="718" t="s">
        <v>572</v>
      </c>
      <c r="D41" s="720">
        <v>3.0</v>
      </c>
      <c r="E41" s="718" t="s">
        <v>966</v>
      </c>
      <c r="F41" s="718" t="s">
        <v>657</v>
      </c>
      <c r="G41" s="718" t="s">
        <v>441</v>
      </c>
      <c r="H41" s="722" t="s">
        <v>483</v>
      </c>
      <c r="I41" s="718" t="s">
        <v>576</v>
      </c>
      <c r="J41" s="741" t="s">
        <v>726</v>
      </c>
      <c r="K41" s="721" t="s">
        <v>1415</v>
      </c>
    </row>
    <row r="42">
      <c r="A42" s="726" t="s">
        <v>1416</v>
      </c>
      <c r="B42" s="746">
        <v>3.0</v>
      </c>
      <c r="C42" s="726" t="s">
        <v>920</v>
      </c>
      <c r="D42" s="746" t="s">
        <v>10</v>
      </c>
      <c r="E42" s="729" t="s">
        <v>732</v>
      </c>
      <c r="F42" s="729" t="s">
        <v>10</v>
      </c>
      <c r="G42" s="726" t="s">
        <v>507</v>
      </c>
      <c r="H42" s="749">
        <v>1.0</v>
      </c>
      <c r="I42" s="729" t="s">
        <v>493</v>
      </c>
      <c r="J42" s="735" t="s">
        <v>494</v>
      </c>
      <c r="K42" s="729" t="s">
        <v>1421</v>
      </c>
    </row>
    <row r="43">
      <c r="A43" s="718" t="s">
        <v>1422</v>
      </c>
      <c r="B43" s="736">
        <v>4.0</v>
      </c>
      <c r="C43" s="721" t="s">
        <v>608</v>
      </c>
      <c r="D43" s="720">
        <v>3.0</v>
      </c>
      <c r="E43" s="721" t="s">
        <v>42</v>
      </c>
      <c r="F43" s="718" t="s">
        <v>657</v>
      </c>
      <c r="G43" s="718" t="s">
        <v>441</v>
      </c>
      <c r="H43" s="722">
        <v>1.0</v>
      </c>
      <c r="I43" s="718" t="s">
        <v>443</v>
      </c>
      <c r="J43" s="723" t="s">
        <v>668</v>
      </c>
      <c r="K43" s="721" t="s">
        <v>1425</v>
      </c>
    </row>
    <row r="44">
      <c r="A44" s="726" t="s">
        <v>1426</v>
      </c>
      <c r="B44" s="746">
        <v>5.0</v>
      </c>
      <c r="C44" s="726" t="s">
        <v>536</v>
      </c>
      <c r="D44" s="727" t="s">
        <v>10</v>
      </c>
      <c r="E44" s="726" t="s">
        <v>10</v>
      </c>
      <c r="F44" s="731" t="s">
        <v>10</v>
      </c>
      <c r="G44" s="729" t="s">
        <v>462</v>
      </c>
      <c r="H44" s="733">
        <v>1.0</v>
      </c>
      <c r="I44" s="726" t="s">
        <v>557</v>
      </c>
      <c r="J44" s="755" t="s">
        <v>851</v>
      </c>
      <c r="K44" s="729" t="s">
        <v>1427</v>
      </c>
    </row>
    <row r="45">
      <c r="A45" s="718" t="s">
        <v>1428</v>
      </c>
      <c r="B45" s="720">
        <v>6.0</v>
      </c>
      <c r="C45" s="721" t="s">
        <v>556</v>
      </c>
      <c r="D45" s="720" t="s">
        <v>10</v>
      </c>
      <c r="E45" s="718" t="s">
        <v>10</v>
      </c>
      <c r="F45" s="718" t="s">
        <v>10</v>
      </c>
      <c r="G45" s="721" t="s">
        <v>492</v>
      </c>
      <c r="H45" s="722">
        <v>1.0</v>
      </c>
      <c r="I45" s="718" t="s">
        <v>493</v>
      </c>
      <c r="J45" s="723" t="s">
        <v>544</v>
      </c>
      <c r="K45" s="721" t="s">
        <v>1429</v>
      </c>
    </row>
    <row r="46">
      <c r="A46" s="726" t="s">
        <v>1430</v>
      </c>
      <c r="B46" s="727">
        <v>7.0</v>
      </c>
      <c r="C46" s="726" t="s">
        <v>556</v>
      </c>
      <c r="D46" s="727">
        <v>4.0</v>
      </c>
      <c r="E46" s="729" t="s">
        <v>1077</v>
      </c>
      <c r="F46" s="726" t="s">
        <v>657</v>
      </c>
      <c r="G46" s="726" t="s">
        <v>441</v>
      </c>
      <c r="H46" s="756">
        <v>2.0</v>
      </c>
      <c r="I46" s="729" t="s">
        <v>576</v>
      </c>
      <c r="J46" s="755" t="s">
        <v>1431</v>
      </c>
      <c r="K46" s="729" t="s">
        <v>1432</v>
      </c>
    </row>
    <row r="47">
      <c r="A47" s="718" t="s">
        <v>1434</v>
      </c>
      <c r="B47" s="720">
        <v>8.0</v>
      </c>
      <c r="C47" s="718" t="s">
        <v>556</v>
      </c>
      <c r="D47" s="720">
        <v>5.0</v>
      </c>
      <c r="E47" s="718" t="s">
        <v>1435</v>
      </c>
      <c r="F47" s="718" t="s">
        <v>657</v>
      </c>
      <c r="G47" s="718" t="s">
        <v>441</v>
      </c>
      <c r="H47" s="722">
        <v>1.0</v>
      </c>
      <c r="I47" s="718" t="s">
        <v>443</v>
      </c>
      <c r="J47" s="723" t="s">
        <v>588</v>
      </c>
      <c r="K47" s="718" t="s">
        <v>1437</v>
      </c>
    </row>
    <row r="48">
      <c r="A48" s="726" t="s">
        <v>1438</v>
      </c>
      <c r="B48" s="727">
        <v>9.0</v>
      </c>
      <c r="C48" s="726" t="s">
        <v>506</v>
      </c>
      <c r="D48" s="727">
        <v>4.0</v>
      </c>
      <c r="E48" s="726" t="s">
        <v>771</v>
      </c>
      <c r="F48" s="731" t="s">
        <v>657</v>
      </c>
      <c r="G48" s="726" t="s">
        <v>441</v>
      </c>
      <c r="H48" s="733">
        <v>1.0</v>
      </c>
      <c r="I48" s="731" t="s">
        <v>443</v>
      </c>
      <c r="J48" s="735" t="s">
        <v>701</v>
      </c>
      <c r="K48" s="729" t="s">
        <v>1443</v>
      </c>
    </row>
    <row r="49">
      <c r="A49" s="762" t="s">
        <v>1444</v>
      </c>
      <c r="B49" s="764">
        <v>10.0</v>
      </c>
      <c r="C49" s="762" t="s">
        <v>506</v>
      </c>
      <c r="D49" s="764">
        <v>5.0</v>
      </c>
      <c r="E49" s="767" t="s">
        <v>693</v>
      </c>
      <c r="F49" s="771" t="s">
        <v>657</v>
      </c>
      <c r="G49" s="762" t="s">
        <v>441</v>
      </c>
      <c r="H49" s="773" t="s">
        <v>483</v>
      </c>
      <c r="I49" s="771" t="s">
        <v>576</v>
      </c>
      <c r="J49" s="778" t="s">
        <v>873</v>
      </c>
      <c r="K49" s="767" t="s">
        <v>1452</v>
      </c>
    </row>
  </sheetData>
  <mergeCells count="19">
    <mergeCell ref="A1:A2"/>
    <mergeCell ref="B1:B2"/>
    <mergeCell ref="C1:C2"/>
    <mergeCell ref="D1:D2"/>
    <mergeCell ref="E1:G1"/>
    <mergeCell ref="H1:J1"/>
    <mergeCell ref="K1:K2"/>
    <mergeCell ref="A24:F24"/>
    <mergeCell ref="G24:K24"/>
    <mergeCell ref="A37:K37"/>
    <mergeCell ref="A38:F38"/>
    <mergeCell ref="G38:K38"/>
    <mergeCell ref="A3:K3"/>
    <mergeCell ref="A8:K8"/>
    <mergeCell ref="A9:K9"/>
    <mergeCell ref="A10:K10"/>
    <mergeCell ref="A11:F11"/>
    <mergeCell ref="G11:K11"/>
    <mergeCell ref="A23:K23"/>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3.63"/>
    <col customWidth="1" min="3" max="3" width="12.63"/>
    <col customWidth="1" min="4" max="4" width="3.88"/>
    <col customWidth="1" min="5" max="5" width="9.88"/>
    <col customWidth="1" min="6" max="6" width="9.25"/>
    <col customWidth="1" min="7" max="7" width="10.88"/>
    <col customWidth="1" min="8" max="8" width="9.13"/>
    <col customWidth="1" min="9" max="9" width="8.0"/>
    <col customWidth="1" min="10" max="10" width="12.63"/>
    <col customWidth="1" min="11" max="11" width="66.25"/>
  </cols>
  <sheetData>
    <row r="1">
      <c r="A1" s="109" t="s">
        <v>395</v>
      </c>
      <c r="B1" s="111" t="s">
        <v>397</v>
      </c>
      <c r="C1" s="113" t="s">
        <v>402</v>
      </c>
      <c r="D1" s="111" t="s">
        <v>405</v>
      </c>
      <c r="E1" s="113" t="s">
        <v>407</v>
      </c>
      <c r="H1" s="116" t="s">
        <v>409</v>
      </c>
      <c r="J1" s="9"/>
      <c r="K1" s="113" t="s">
        <v>410</v>
      </c>
    </row>
    <row r="2">
      <c r="B2" s="118"/>
      <c r="D2" s="118"/>
      <c r="E2" s="113" t="s">
        <v>413</v>
      </c>
      <c r="F2" s="113" t="s">
        <v>416</v>
      </c>
      <c r="G2" s="113" t="s">
        <v>417</v>
      </c>
      <c r="H2" s="116" t="s">
        <v>418</v>
      </c>
      <c r="I2" s="113" t="s">
        <v>422</v>
      </c>
      <c r="J2" s="120" t="s">
        <v>423</v>
      </c>
    </row>
    <row r="3">
      <c r="A3" s="121" t="s">
        <v>425</v>
      </c>
      <c r="B3" s="37"/>
      <c r="C3" s="37"/>
      <c r="D3" s="37"/>
      <c r="E3" s="37"/>
      <c r="F3" s="37"/>
      <c r="G3" s="37"/>
      <c r="H3" s="37"/>
      <c r="I3" s="37"/>
      <c r="J3" s="37"/>
      <c r="K3" s="37"/>
    </row>
    <row r="4">
      <c r="A4" s="124" t="str">
        <f>Classes!A4</f>
        <v>Basic Attack (P) / Basic Attack (M)</v>
      </c>
      <c r="B4" s="127" t="str">
        <f>Classes!B4</f>
        <v>B</v>
      </c>
      <c r="C4" s="124" t="str">
        <f>Classes!C4</f>
        <v>Every Turn</v>
      </c>
      <c r="D4" s="127">
        <f>Classes!D4</f>
        <v>2</v>
      </c>
      <c r="E4" s="124" t="str">
        <f>Classes!E4</f>
        <v>1d10+2</v>
      </c>
      <c r="F4" s="124" t="str">
        <f>Classes!F4</f>
        <v>Physical or Magical</v>
      </c>
      <c r="G4" s="124" t="str">
        <f>Classes!G4</f>
        <v>Standard</v>
      </c>
      <c r="H4" s="128">
        <f>Classes!H4</f>
        <v>1</v>
      </c>
      <c r="I4" s="124" t="str">
        <f>Classes!I4</f>
        <v>Foe</v>
      </c>
      <c r="J4" s="129" t="str">
        <f>Classes!J4</f>
        <v>Melee</v>
      </c>
      <c r="K4" s="130" t="str">
        <f>Classes!K4</f>
        <v>A basic attack. The user may choose either BATK (P) or BATK (M). Add the corresponding stat depending on their choice (BATK (P) = Physical Attack. BATK (M) = Magical Attack).This attack can be used even when sealed and its use cannot be prevented by any means, outside of Stun.</v>
      </c>
    </row>
    <row r="5">
      <c r="A5" s="132" t="str">
        <f>Classes!A5</f>
        <v>Dash</v>
      </c>
      <c r="B5" s="134" t="str">
        <f>Classes!B5</f>
        <v>B</v>
      </c>
      <c r="C5" s="132" t="str">
        <f>Classes!C5</f>
        <v>Every Turn</v>
      </c>
      <c r="D5" s="134" t="str">
        <f>Classes!D5</f>
        <v>-</v>
      </c>
      <c r="E5" s="132" t="str">
        <f>Classes!E5</f>
        <v>-</v>
      </c>
      <c r="F5" s="132" t="str">
        <f>Classes!F5</f>
        <v>-</v>
      </c>
      <c r="G5" s="137" t="str">
        <f>Classes!G5</f>
        <v>Full</v>
      </c>
      <c r="H5" s="201" t="str">
        <f>Classes!H5</f>
        <v>-</v>
      </c>
      <c r="I5" s="132" t="str">
        <f>Classes!I5</f>
        <v>Self</v>
      </c>
      <c r="J5" s="145" t="str">
        <f>Classes!J5</f>
        <v>-</v>
      </c>
      <c r="K5" s="136" t="str">
        <f>Classes!K5</f>
        <v>The user moves up to 1.5x their MP (rounded down) instead of 1x.
(Dash is a Full action, which takes up both the Movement and Standard actions.)</v>
      </c>
    </row>
    <row r="6">
      <c r="A6" s="124" t="str">
        <f>Classes!A6</f>
        <v>Backstep</v>
      </c>
      <c r="B6" s="127" t="str">
        <f>Classes!B6</f>
        <v>B</v>
      </c>
      <c r="C6" s="124" t="str">
        <f>Classes!C6</f>
        <v>Every Turn</v>
      </c>
      <c r="D6" s="127" t="str">
        <f>Classes!D6</f>
        <v>-</v>
      </c>
      <c r="E6" s="124" t="str">
        <f>Classes!E6</f>
        <v>-</v>
      </c>
      <c r="F6" s="124" t="str">
        <f>Classes!F6</f>
        <v>-</v>
      </c>
      <c r="G6" s="124" t="str">
        <f>Classes!G6</f>
        <v>Movement</v>
      </c>
      <c r="H6" s="128" t="str">
        <f>Classes!H6</f>
        <v>-</v>
      </c>
      <c r="I6" s="124" t="str">
        <f>Classes!I6</f>
        <v>Self</v>
      </c>
      <c r="J6" s="129" t="str">
        <f>Classes!J6</f>
        <v>-</v>
      </c>
      <c r="K6" s="216" t="str">
        <f>Classes!K6</f>
        <v>This can only be used while a foe is in the user's Melee. The user moves one tile in a cardinal direction without triggering Attack of Opportunity.</v>
      </c>
    </row>
    <row r="7">
      <c r="A7" s="132" t="str">
        <f>Classes!A7</f>
        <v>Attack of Opportunity</v>
      </c>
      <c r="B7" s="134" t="str">
        <f>Classes!B7</f>
        <v>B</v>
      </c>
      <c r="C7" s="132" t="str">
        <f>Classes!C7</f>
        <v>Every Turn</v>
      </c>
      <c r="D7" s="134">
        <f>Classes!D7</f>
        <v>2</v>
      </c>
      <c r="E7" s="132" t="str">
        <f>Classes!E7</f>
        <v>1d10+2</v>
      </c>
      <c r="F7" s="132" t="str">
        <f>Classes!F7</f>
        <v>Physical or Magical</v>
      </c>
      <c r="G7" s="132" t="str">
        <f>Classes!G7</f>
        <v>Reaction</v>
      </c>
      <c r="H7" s="201">
        <f>Classes!H7</f>
        <v>1</v>
      </c>
      <c r="I7" s="132" t="str">
        <f>Classes!I7</f>
        <v>Foe</v>
      </c>
      <c r="J7" s="145" t="str">
        <f>Classes!J7</f>
        <v>Melee</v>
      </c>
      <c r="K7" s="136" t="str">
        <f>Classes!K7</f>
        <v>This may be used when a foe in the user's Melee either: leaves that Melee with their Movement action, or uses a ranged attack that doesn't target the user (after damage is rolled). This Reaction still adds ATK or MAG.</v>
      </c>
    </row>
    <row r="8">
      <c r="A8" s="269" t="s">
        <v>1131</v>
      </c>
      <c r="B8" s="37"/>
      <c r="C8" s="37"/>
      <c r="D8" s="37"/>
      <c r="E8" s="37"/>
      <c r="F8" s="37"/>
      <c r="G8" s="37"/>
      <c r="H8" s="37"/>
      <c r="I8" s="37"/>
      <c r="J8" s="37"/>
      <c r="K8" s="37"/>
    </row>
    <row r="9">
      <c r="A9" s="147"/>
    </row>
    <row r="10">
      <c r="A10" s="227" t="s">
        <v>1139</v>
      </c>
      <c r="B10" s="149"/>
      <c r="C10" s="149"/>
      <c r="D10" s="149"/>
      <c r="E10" s="149"/>
      <c r="F10" s="149"/>
      <c r="G10" s="149"/>
      <c r="H10" s="149"/>
      <c r="I10" s="149"/>
      <c r="J10" s="149"/>
      <c r="K10" s="149"/>
    </row>
    <row r="11">
      <c r="A11" s="230" t="s">
        <v>1146</v>
      </c>
      <c r="B11" s="7"/>
      <c r="C11" s="7"/>
      <c r="D11" s="7"/>
      <c r="E11" s="7"/>
      <c r="F11" s="7"/>
      <c r="G11" s="232" t="s">
        <v>1150</v>
      </c>
      <c r="H11" s="7"/>
      <c r="I11" s="7"/>
      <c r="J11" s="7"/>
      <c r="K11" s="7"/>
    </row>
    <row r="12">
      <c r="A12" s="568" t="s">
        <v>1151</v>
      </c>
      <c r="B12" s="570">
        <v>1.0</v>
      </c>
      <c r="C12" s="568" t="s">
        <v>572</v>
      </c>
      <c r="D12" s="570" t="s">
        <v>10</v>
      </c>
      <c r="E12" s="568" t="s">
        <v>10</v>
      </c>
      <c r="F12" s="568" t="s">
        <v>10</v>
      </c>
      <c r="G12" s="568" t="s">
        <v>565</v>
      </c>
      <c r="H12" s="572" t="s">
        <v>10</v>
      </c>
      <c r="I12" s="574" t="s">
        <v>10</v>
      </c>
      <c r="J12" s="575" t="s">
        <v>1157</v>
      </c>
      <c r="K12" s="574" t="s">
        <v>1160</v>
      </c>
    </row>
    <row r="13">
      <c r="A13" s="579" t="s">
        <v>1161</v>
      </c>
      <c r="B13" s="582">
        <v>1.0</v>
      </c>
      <c r="C13" s="579" t="s">
        <v>435</v>
      </c>
      <c r="D13" s="582">
        <v>3.0</v>
      </c>
      <c r="E13" s="585" t="s">
        <v>979</v>
      </c>
      <c r="F13" s="579" t="s">
        <v>603</v>
      </c>
      <c r="G13" s="579" t="s">
        <v>441</v>
      </c>
      <c r="H13" s="587">
        <v>1.0</v>
      </c>
      <c r="I13" s="585" t="s">
        <v>10</v>
      </c>
      <c r="J13" s="590" t="s">
        <v>792</v>
      </c>
      <c r="K13" s="579" t="s">
        <v>1168</v>
      </c>
    </row>
    <row r="14">
      <c r="A14" s="568" t="s">
        <v>1169</v>
      </c>
      <c r="B14" s="570">
        <v>2.0</v>
      </c>
      <c r="C14" s="568" t="s">
        <v>572</v>
      </c>
      <c r="D14" s="570">
        <v>4.0</v>
      </c>
      <c r="E14" s="568" t="s">
        <v>1171</v>
      </c>
      <c r="F14" s="568" t="s">
        <v>830</v>
      </c>
      <c r="G14" s="568" t="s">
        <v>441</v>
      </c>
      <c r="H14" s="572">
        <v>1.0</v>
      </c>
      <c r="I14" s="568" t="s">
        <v>443</v>
      </c>
      <c r="J14" s="575" t="s">
        <v>799</v>
      </c>
      <c r="K14" s="574" t="s">
        <v>1172</v>
      </c>
    </row>
    <row r="15">
      <c r="A15" s="579" t="s">
        <v>1174</v>
      </c>
      <c r="B15" s="582">
        <v>3.0</v>
      </c>
      <c r="C15" s="579" t="s">
        <v>608</v>
      </c>
      <c r="D15" s="582">
        <v>3.0</v>
      </c>
      <c r="E15" s="579" t="s">
        <v>724</v>
      </c>
      <c r="F15" s="579" t="s">
        <v>657</v>
      </c>
      <c r="G15" s="579" t="s">
        <v>441</v>
      </c>
      <c r="H15" s="587" t="s">
        <v>483</v>
      </c>
      <c r="I15" s="579" t="s">
        <v>576</v>
      </c>
      <c r="J15" s="590" t="s">
        <v>1176</v>
      </c>
      <c r="K15" s="585" t="s">
        <v>1177</v>
      </c>
    </row>
    <row r="16">
      <c r="A16" s="568" t="s">
        <v>1178</v>
      </c>
      <c r="B16" s="570">
        <v>4.0</v>
      </c>
      <c r="C16" s="568" t="s">
        <v>572</v>
      </c>
      <c r="D16" s="601">
        <v>3.0</v>
      </c>
      <c r="E16" s="568" t="s">
        <v>1181</v>
      </c>
      <c r="F16" s="568" t="s">
        <v>603</v>
      </c>
      <c r="G16" s="568" t="s">
        <v>441</v>
      </c>
      <c r="H16" s="572">
        <v>1.0</v>
      </c>
      <c r="I16" s="568" t="s">
        <v>443</v>
      </c>
      <c r="J16" s="575" t="s">
        <v>605</v>
      </c>
      <c r="K16" s="574" t="s">
        <v>1186</v>
      </c>
    </row>
    <row r="17">
      <c r="A17" s="579" t="s">
        <v>1188</v>
      </c>
      <c r="B17" s="582">
        <v>5.0</v>
      </c>
      <c r="C17" s="579" t="s">
        <v>608</v>
      </c>
      <c r="D17" s="582" t="s">
        <v>10</v>
      </c>
      <c r="E17" s="579" t="s">
        <v>10</v>
      </c>
      <c r="F17" s="579" t="s">
        <v>10</v>
      </c>
      <c r="G17" s="579" t="s">
        <v>507</v>
      </c>
      <c r="H17" s="587" t="s">
        <v>10</v>
      </c>
      <c r="I17" s="579" t="s">
        <v>10</v>
      </c>
      <c r="J17" s="612" t="s">
        <v>868</v>
      </c>
      <c r="K17" s="579" t="s">
        <v>1190</v>
      </c>
    </row>
    <row r="18">
      <c r="A18" s="568" t="s">
        <v>1192</v>
      </c>
      <c r="B18" s="570">
        <v>6.0</v>
      </c>
      <c r="C18" s="574" t="s">
        <v>491</v>
      </c>
      <c r="D18" s="617">
        <v>4.0</v>
      </c>
      <c r="E18" s="568" t="s">
        <v>1194</v>
      </c>
      <c r="F18" s="619" t="s">
        <v>657</v>
      </c>
      <c r="G18" s="619" t="s">
        <v>947</v>
      </c>
      <c r="H18" s="621" t="s">
        <v>483</v>
      </c>
      <c r="I18" s="619" t="s">
        <v>576</v>
      </c>
      <c r="J18" s="575" t="s">
        <v>1198</v>
      </c>
      <c r="K18" s="574" t="s">
        <v>1199</v>
      </c>
    </row>
    <row r="19">
      <c r="A19" s="625" t="s">
        <v>1201</v>
      </c>
      <c r="B19" s="582">
        <v>7.0</v>
      </c>
      <c r="C19" s="579" t="s">
        <v>556</v>
      </c>
      <c r="D19" s="626">
        <v>4.0</v>
      </c>
      <c r="E19" s="585" t="s">
        <v>1205</v>
      </c>
      <c r="F19" s="579" t="s">
        <v>657</v>
      </c>
      <c r="G19" s="625" t="s">
        <v>441</v>
      </c>
      <c r="H19" s="628">
        <v>1.0</v>
      </c>
      <c r="I19" s="579" t="s">
        <v>443</v>
      </c>
      <c r="J19" s="590" t="s">
        <v>588</v>
      </c>
      <c r="K19" s="585" t="s">
        <v>1208</v>
      </c>
    </row>
    <row r="20">
      <c r="A20" s="568" t="s">
        <v>1211</v>
      </c>
      <c r="B20" s="570">
        <v>8.0</v>
      </c>
      <c r="C20" s="574" t="s">
        <v>556</v>
      </c>
      <c r="D20" s="617" t="s">
        <v>10</v>
      </c>
      <c r="E20" s="568" t="s">
        <v>10</v>
      </c>
      <c r="F20" s="619" t="s">
        <v>10</v>
      </c>
      <c r="G20" s="619" t="s">
        <v>492</v>
      </c>
      <c r="H20" s="621" t="s">
        <v>483</v>
      </c>
      <c r="I20" s="619" t="s">
        <v>484</v>
      </c>
      <c r="J20" s="575" t="s">
        <v>510</v>
      </c>
      <c r="K20" s="568" t="s">
        <v>1218</v>
      </c>
    </row>
    <row r="21">
      <c r="A21" s="579" t="s">
        <v>1219</v>
      </c>
      <c r="B21" s="582">
        <v>9.0</v>
      </c>
      <c r="C21" s="579" t="s">
        <v>556</v>
      </c>
      <c r="D21" s="582">
        <v>4.0</v>
      </c>
      <c r="E21" s="585" t="s">
        <v>609</v>
      </c>
      <c r="F21" s="579" t="s">
        <v>603</v>
      </c>
      <c r="G21" s="579" t="s">
        <v>441</v>
      </c>
      <c r="H21" s="587">
        <v>1.0</v>
      </c>
      <c r="I21" s="579" t="s">
        <v>443</v>
      </c>
      <c r="J21" s="612" t="s">
        <v>494</v>
      </c>
      <c r="K21" s="585" t="s">
        <v>1223</v>
      </c>
    </row>
    <row r="22">
      <c r="A22" s="568" t="s">
        <v>1224</v>
      </c>
      <c r="B22" s="570">
        <v>10.0</v>
      </c>
      <c r="C22" s="568" t="s">
        <v>506</v>
      </c>
      <c r="D22" s="570">
        <v>4.0</v>
      </c>
      <c r="E22" s="568" t="s">
        <v>864</v>
      </c>
      <c r="F22" s="568" t="s">
        <v>603</v>
      </c>
      <c r="G22" s="568" t="s">
        <v>441</v>
      </c>
      <c r="H22" s="572">
        <v>1.0</v>
      </c>
      <c r="I22" s="568" t="s">
        <v>443</v>
      </c>
      <c r="J22" s="575" t="s">
        <v>1225</v>
      </c>
      <c r="K22" s="574" t="s">
        <v>1226</v>
      </c>
    </row>
    <row r="23">
      <c r="A23" s="227" t="s">
        <v>102</v>
      </c>
      <c r="B23" s="149"/>
      <c r="C23" s="149"/>
      <c r="D23" s="149"/>
      <c r="E23" s="149"/>
      <c r="F23" s="149"/>
      <c r="G23" s="149"/>
      <c r="H23" s="149"/>
      <c r="I23" s="149"/>
      <c r="J23" s="149"/>
      <c r="K23" s="149"/>
    </row>
    <row r="24">
      <c r="A24" s="230" t="s">
        <v>1235</v>
      </c>
      <c r="B24" s="7"/>
      <c r="C24" s="7"/>
      <c r="D24" s="7"/>
      <c r="E24" s="7"/>
      <c r="F24" s="7"/>
      <c r="G24" s="232" t="s">
        <v>1236</v>
      </c>
      <c r="H24" s="7"/>
      <c r="I24" s="7"/>
      <c r="J24" s="7"/>
      <c r="K24" s="7"/>
    </row>
    <row r="25">
      <c r="A25" s="643" t="s">
        <v>1240</v>
      </c>
      <c r="B25" s="645">
        <v>1.0</v>
      </c>
      <c r="C25" s="643" t="s">
        <v>435</v>
      </c>
      <c r="D25" s="645">
        <v>2.0</v>
      </c>
      <c r="E25" s="643" t="s">
        <v>966</v>
      </c>
      <c r="F25" s="643" t="s">
        <v>657</v>
      </c>
      <c r="G25" s="643" t="s">
        <v>441</v>
      </c>
      <c r="H25" s="649">
        <v>1.0</v>
      </c>
      <c r="I25" s="643" t="s">
        <v>443</v>
      </c>
      <c r="J25" s="650" t="s">
        <v>619</v>
      </c>
      <c r="K25" s="643" t="s">
        <v>1250</v>
      </c>
    </row>
    <row r="26">
      <c r="A26" s="652" t="s">
        <v>1251</v>
      </c>
      <c r="B26" s="653">
        <v>2.0</v>
      </c>
      <c r="C26" s="652" t="s">
        <v>572</v>
      </c>
      <c r="D26" s="653">
        <v>3.0</v>
      </c>
      <c r="E26" s="652" t="s">
        <v>627</v>
      </c>
      <c r="F26" s="652" t="s">
        <v>657</v>
      </c>
      <c r="G26" s="652" t="s">
        <v>441</v>
      </c>
      <c r="H26" s="655">
        <v>1.0</v>
      </c>
      <c r="I26" s="652" t="s">
        <v>443</v>
      </c>
      <c r="J26" s="656" t="s">
        <v>494</v>
      </c>
      <c r="K26" s="657" t="s">
        <v>1257</v>
      </c>
    </row>
    <row r="27">
      <c r="A27" s="643" t="s">
        <v>1261</v>
      </c>
      <c r="B27" s="645">
        <v>3.0</v>
      </c>
      <c r="C27" s="643" t="s">
        <v>556</v>
      </c>
      <c r="D27" s="645">
        <v>4.0</v>
      </c>
      <c r="E27" s="643" t="s">
        <v>1262</v>
      </c>
      <c r="F27" s="643" t="s">
        <v>657</v>
      </c>
      <c r="G27" s="643" t="s">
        <v>441</v>
      </c>
      <c r="H27" s="649">
        <v>1.0</v>
      </c>
      <c r="I27" s="643" t="s">
        <v>443</v>
      </c>
      <c r="J27" s="650" t="s">
        <v>510</v>
      </c>
      <c r="K27" s="643" t="s">
        <v>1267</v>
      </c>
    </row>
    <row r="28">
      <c r="A28" s="652" t="s">
        <v>437</v>
      </c>
      <c r="B28" s="653">
        <v>4.0</v>
      </c>
      <c r="C28" s="652" t="s">
        <v>556</v>
      </c>
      <c r="D28" s="653">
        <v>3.0</v>
      </c>
      <c r="E28" s="652" t="s">
        <v>864</v>
      </c>
      <c r="F28" s="652" t="s">
        <v>657</v>
      </c>
      <c r="G28" s="652" t="s">
        <v>441</v>
      </c>
      <c r="H28" s="655">
        <v>3.0</v>
      </c>
      <c r="I28" s="652" t="s">
        <v>576</v>
      </c>
      <c r="J28" s="656" t="s">
        <v>1271</v>
      </c>
      <c r="K28" s="652" t="s">
        <v>1273</v>
      </c>
    </row>
    <row r="29">
      <c r="A29" s="643" t="s">
        <v>1274</v>
      </c>
      <c r="B29" s="645">
        <v>5.0</v>
      </c>
      <c r="C29" s="643" t="s">
        <v>556</v>
      </c>
      <c r="D29" s="649" t="s">
        <v>10</v>
      </c>
      <c r="E29" s="649" t="s">
        <v>740</v>
      </c>
      <c r="F29" s="643" t="s">
        <v>10</v>
      </c>
      <c r="G29" s="643" t="s">
        <v>492</v>
      </c>
      <c r="H29" s="649">
        <v>1.0</v>
      </c>
      <c r="I29" s="643" t="s">
        <v>493</v>
      </c>
      <c r="J29" s="650" t="s">
        <v>588</v>
      </c>
      <c r="K29" s="643" t="s">
        <v>1279</v>
      </c>
    </row>
    <row r="30">
      <c r="A30" s="652" t="s">
        <v>1280</v>
      </c>
      <c r="B30" s="653">
        <v>6.0</v>
      </c>
      <c r="C30" s="652" t="s">
        <v>506</v>
      </c>
      <c r="D30" s="653">
        <v>4.0</v>
      </c>
      <c r="E30" s="652" t="s">
        <v>42</v>
      </c>
      <c r="F30" s="652" t="s">
        <v>657</v>
      </c>
      <c r="G30" s="652" t="s">
        <v>441</v>
      </c>
      <c r="H30" s="655" t="s">
        <v>483</v>
      </c>
      <c r="I30" s="652" t="s">
        <v>576</v>
      </c>
      <c r="J30" s="656" t="s">
        <v>930</v>
      </c>
      <c r="K30" s="652" t="s">
        <v>1283</v>
      </c>
    </row>
    <row r="31">
      <c r="A31" s="643" t="s">
        <v>1284</v>
      </c>
      <c r="B31" s="645">
        <v>7.0</v>
      </c>
      <c r="C31" s="643" t="s">
        <v>608</v>
      </c>
      <c r="D31" s="645">
        <v>4.0</v>
      </c>
      <c r="E31" s="643" t="s">
        <v>1010</v>
      </c>
      <c r="F31" s="643" t="s">
        <v>657</v>
      </c>
      <c r="G31" s="643" t="s">
        <v>441</v>
      </c>
      <c r="H31" s="649">
        <v>1.0</v>
      </c>
      <c r="I31" s="643" t="s">
        <v>443</v>
      </c>
      <c r="J31" s="650" t="s">
        <v>668</v>
      </c>
      <c r="K31" s="643" t="s">
        <v>1292</v>
      </c>
    </row>
    <row r="32">
      <c r="A32" s="652" t="s">
        <v>51</v>
      </c>
      <c r="B32" s="653">
        <v>8.0</v>
      </c>
      <c r="C32" s="652" t="s">
        <v>536</v>
      </c>
      <c r="D32" s="653" t="s">
        <v>10</v>
      </c>
      <c r="E32" s="652" t="s">
        <v>10</v>
      </c>
      <c r="F32" s="652" t="s">
        <v>10</v>
      </c>
      <c r="G32" s="652" t="s">
        <v>456</v>
      </c>
      <c r="H32" s="655">
        <v>1.0</v>
      </c>
      <c r="I32" s="652" t="s">
        <v>1296</v>
      </c>
      <c r="J32" s="656" t="s">
        <v>544</v>
      </c>
      <c r="K32" s="652" t="s">
        <v>1297</v>
      </c>
    </row>
    <row r="33">
      <c r="A33" s="643" t="s">
        <v>1298</v>
      </c>
      <c r="B33" s="645">
        <v>9.0</v>
      </c>
      <c r="C33" s="643" t="s">
        <v>506</v>
      </c>
      <c r="D33" s="645" t="s">
        <v>10</v>
      </c>
      <c r="E33" s="643" t="s">
        <v>10</v>
      </c>
      <c r="F33" s="643" t="s">
        <v>10</v>
      </c>
      <c r="G33" s="643" t="s">
        <v>507</v>
      </c>
      <c r="H33" s="649" t="s">
        <v>10</v>
      </c>
      <c r="I33" s="643" t="s">
        <v>451</v>
      </c>
      <c r="J33" s="650" t="s">
        <v>10</v>
      </c>
      <c r="K33" s="643" t="s">
        <v>1304</v>
      </c>
    </row>
    <row r="34">
      <c r="A34" s="652" t="s">
        <v>1307</v>
      </c>
      <c r="B34" s="653">
        <v>10.0</v>
      </c>
      <c r="C34" s="652" t="s">
        <v>506</v>
      </c>
      <c r="D34" s="653">
        <v>4.0</v>
      </c>
      <c r="E34" s="652" t="s">
        <v>1309</v>
      </c>
      <c r="F34" s="652" t="s">
        <v>657</v>
      </c>
      <c r="G34" s="652" t="s">
        <v>441</v>
      </c>
      <c r="H34" s="655">
        <v>1.0</v>
      </c>
      <c r="I34" s="652" t="s">
        <v>443</v>
      </c>
      <c r="J34" s="656" t="s">
        <v>1310</v>
      </c>
      <c r="K34" s="652" t="s">
        <v>1311</v>
      </c>
    </row>
    <row r="35">
      <c r="A35" s="680" t="s">
        <v>1313</v>
      </c>
      <c r="B35" s="149"/>
      <c r="C35" s="149"/>
      <c r="D35" s="149"/>
      <c r="E35" s="149"/>
      <c r="F35" s="149"/>
      <c r="G35" s="149"/>
      <c r="H35" s="149"/>
      <c r="I35" s="149"/>
      <c r="J35" s="149"/>
      <c r="K35" s="149"/>
    </row>
    <row r="36">
      <c r="A36" s="230" t="s">
        <v>1318</v>
      </c>
      <c r="B36" s="7"/>
      <c r="C36" s="7"/>
      <c r="D36" s="7"/>
      <c r="E36" s="7"/>
      <c r="F36" s="7"/>
      <c r="G36" s="232" t="s">
        <v>1322</v>
      </c>
      <c r="H36" s="7"/>
      <c r="I36" s="7"/>
      <c r="J36" s="7"/>
      <c r="K36" s="7"/>
    </row>
    <row r="37">
      <c r="A37" s="689" t="s">
        <v>1324</v>
      </c>
      <c r="B37" s="691">
        <v>1.0</v>
      </c>
      <c r="C37" s="689" t="s">
        <v>506</v>
      </c>
      <c r="D37" s="691" t="s">
        <v>10</v>
      </c>
      <c r="E37" s="689" t="s">
        <v>10</v>
      </c>
      <c r="F37" s="689" t="s">
        <v>10</v>
      </c>
      <c r="G37" s="689" t="s">
        <v>565</v>
      </c>
      <c r="H37" s="694" t="s">
        <v>10</v>
      </c>
      <c r="I37" s="689" t="s">
        <v>451</v>
      </c>
      <c r="J37" s="695" t="s">
        <v>10</v>
      </c>
      <c r="K37" s="697" t="s">
        <v>1336</v>
      </c>
    </row>
    <row r="38">
      <c r="A38" s="699" t="s">
        <v>1339</v>
      </c>
      <c r="B38" s="700">
        <v>1.0</v>
      </c>
      <c r="C38" s="701" t="s">
        <v>435</v>
      </c>
      <c r="D38" s="703">
        <v>3.0</v>
      </c>
      <c r="E38" s="699" t="s">
        <v>1347</v>
      </c>
      <c r="F38" s="699" t="s">
        <v>657</v>
      </c>
      <c r="G38" s="699" t="s">
        <v>441</v>
      </c>
      <c r="H38" s="704" t="s">
        <v>483</v>
      </c>
      <c r="I38" s="699" t="s">
        <v>576</v>
      </c>
      <c r="J38" s="705" t="s">
        <v>485</v>
      </c>
      <c r="K38" s="701" t="s">
        <v>1353</v>
      </c>
    </row>
    <row r="39">
      <c r="A39" s="689" t="s">
        <v>1354</v>
      </c>
      <c r="B39" s="707">
        <v>2.0</v>
      </c>
      <c r="C39" s="697" t="s">
        <v>572</v>
      </c>
      <c r="D39" s="691">
        <v>3.0</v>
      </c>
      <c r="E39" s="689" t="s">
        <v>42</v>
      </c>
      <c r="F39" s="689" t="s">
        <v>657</v>
      </c>
      <c r="G39" s="689" t="s">
        <v>441</v>
      </c>
      <c r="H39" s="694">
        <v>1.0</v>
      </c>
      <c r="I39" s="689" t="s">
        <v>443</v>
      </c>
      <c r="J39" s="695" t="s">
        <v>588</v>
      </c>
      <c r="K39" s="697" t="s">
        <v>1366</v>
      </c>
    </row>
    <row r="40">
      <c r="A40" s="699" t="s">
        <v>1370</v>
      </c>
      <c r="B40" s="703">
        <v>3.0</v>
      </c>
      <c r="C40" s="699" t="s">
        <v>572</v>
      </c>
      <c r="D40" s="703" t="s">
        <v>10</v>
      </c>
      <c r="E40" s="699" t="s">
        <v>10</v>
      </c>
      <c r="F40" s="699" t="s">
        <v>10</v>
      </c>
      <c r="G40" s="699" t="s">
        <v>507</v>
      </c>
      <c r="H40" s="704" t="s">
        <v>483</v>
      </c>
      <c r="I40" s="699" t="s">
        <v>1374</v>
      </c>
      <c r="J40" s="716" t="s">
        <v>868</v>
      </c>
      <c r="K40" s="701" t="s">
        <v>1376</v>
      </c>
    </row>
    <row r="41">
      <c r="A41" s="689" t="s">
        <v>1378</v>
      </c>
      <c r="B41" s="691">
        <v>4.0</v>
      </c>
      <c r="C41" s="689" t="s">
        <v>608</v>
      </c>
      <c r="D41" s="691">
        <v>4.0</v>
      </c>
      <c r="E41" s="689" t="s">
        <v>732</v>
      </c>
      <c r="F41" s="689" t="s">
        <v>657</v>
      </c>
      <c r="G41" s="689" t="s">
        <v>441</v>
      </c>
      <c r="H41" s="694">
        <v>1.0</v>
      </c>
      <c r="I41" s="689" t="s">
        <v>443</v>
      </c>
      <c r="J41" s="695" t="s">
        <v>805</v>
      </c>
      <c r="K41" s="697" t="s">
        <v>1385</v>
      </c>
    </row>
    <row r="42">
      <c r="A42" s="699" t="s">
        <v>1387</v>
      </c>
      <c r="B42" s="703">
        <v>5.0</v>
      </c>
      <c r="C42" s="701" t="s">
        <v>506</v>
      </c>
      <c r="D42" s="703" t="s">
        <v>10</v>
      </c>
      <c r="E42" s="699" t="s">
        <v>10</v>
      </c>
      <c r="F42" s="699" t="s">
        <v>10</v>
      </c>
      <c r="G42" s="699" t="s">
        <v>492</v>
      </c>
      <c r="H42" s="704" t="s">
        <v>10</v>
      </c>
      <c r="I42" s="699" t="s">
        <v>451</v>
      </c>
      <c r="J42" s="705" t="s">
        <v>10</v>
      </c>
      <c r="K42" s="701" t="s">
        <v>1392</v>
      </c>
    </row>
    <row r="43">
      <c r="A43" s="689" t="s">
        <v>1393</v>
      </c>
      <c r="B43" s="691">
        <v>6.0</v>
      </c>
      <c r="C43" s="689" t="s">
        <v>1395</v>
      </c>
      <c r="D43" s="691">
        <v>4.0</v>
      </c>
      <c r="E43" s="689" t="s">
        <v>627</v>
      </c>
      <c r="F43" s="689" t="s">
        <v>657</v>
      </c>
      <c r="G43" s="689" t="s">
        <v>441</v>
      </c>
      <c r="H43" s="694" t="s">
        <v>483</v>
      </c>
      <c r="I43" s="689" t="s">
        <v>576</v>
      </c>
      <c r="J43" s="730" t="s">
        <v>873</v>
      </c>
      <c r="K43" s="697" t="s">
        <v>1400</v>
      </c>
    </row>
    <row r="44">
      <c r="A44" s="699" t="s">
        <v>1401</v>
      </c>
      <c r="B44" s="703">
        <v>7.0</v>
      </c>
      <c r="C44" s="701" t="s">
        <v>1403</v>
      </c>
      <c r="D44" s="703">
        <v>4.0</v>
      </c>
      <c r="E44" s="701" t="s">
        <v>1308</v>
      </c>
      <c r="F44" s="699" t="s">
        <v>657</v>
      </c>
      <c r="G44" s="699" t="s">
        <v>441</v>
      </c>
      <c r="H44" s="704">
        <v>1.0</v>
      </c>
      <c r="I44" s="699" t="s">
        <v>443</v>
      </c>
      <c r="J44" s="716" t="s">
        <v>1404</v>
      </c>
      <c r="K44" s="701" t="s">
        <v>1406</v>
      </c>
    </row>
    <row r="45">
      <c r="A45" s="689" t="s">
        <v>1408</v>
      </c>
      <c r="B45" s="691">
        <v>8.0</v>
      </c>
      <c r="C45" s="689" t="s">
        <v>506</v>
      </c>
      <c r="D45" s="691">
        <v>5.0</v>
      </c>
      <c r="E45" s="689" t="s">
        <v>761</v>
      </c>
      <c r="F45" s="689" t="s">
        <v>657</v>
      </c>
      <c r="G45" s="689" t="s">
        <v>441</v>
      </c>
      <c r="H45" s="737">
        <v>1.0</v>
      </c>
      <c r="I45" s="689" t="s">
        <v>443</v>
      </c>
      <c r="J45" s="695" t="s">
        <v>830</v>
      </c>
      <c r="K45" s="697" t="s">
        <v>1413</v>
      </c>
    </row>
    <row r="46">
      <c r="A46" s="701" t="s">
        <v>1414</v>
      </c>
      <c r="B46" s="703">
        <v>9.0</v>
      </c>
      <c r="C46" s="701" t="s">
        <v>608</v>
      </c>
      <c r="D46" s="700">
        <v>4.0</v>
      </c>
      <c r="E46" s="701" t="s">
        <v>745</v>
      </c>
      <c r="F46" s="699" t="s">
        <v>657</v>
      </c>
      <c r="G46" s="699" t="s">
        <v>441</v>
      </c>
      <c r="H46" s="743">
        <v>1.0</v>
      </c>
      <c r="I46" s="701" t="s">
        <v>443</v>
      </c>
      <c r="J46" s="716" t="s">
        <v>588</v>
      </c>
      <c r="K46" s="701" t="s">
        <v>1418</v>
      </c>
    </row>
    <row r="47">
      <c r="A47" s="745" t="s">
        <v>1420</v>
      </c>
      <c r="B47" s="748">
        <v>10.0</v>
      </c>
      <c r="C47" s="745" t="s">
        <v>506</v>
      </c>
      <c r="D47" s="748">
        <v>5.0</v>
      </c>
      <c r="E47" s="745" t="s">
        <v>1061</v>
      </c>
      <c r="F47" s="745" t="s">
        <v>657</v>
      </c>
      <c r="G47" s="745" t="s">
        <v>441</v>
      </c>
      <c r="H47" s="750">
        <v>1.0</v>
      </c>
      <c r="I47" s="745" t="s">
        <v>443</v>
      </c>
      <c r="J47" s="751" t="s">
        <v>494</v>
      </c>
      <c r="K47" s="753" t="s">
        <v>1423</v>
      </c>
    </row>
  </sheetData>
  <mergeCells count="19">
    <mergeCell ref="A1:A2"/>
    <mergeCell ref="B1:B2"/>
    <mergeCell ref="C1:C2"/>
    <mergeCell ref="D1:D2"/>
    <mergeCell ref="E1:G1"/>
    <mergeCell ref="H1:J1"/>
    <mergeCell ref="K1:K2"/>
    <mergeCell ref="A24:F24"/>
    <mergeCell ref="G24:K24"/>
    <mergeCell ref="A35:K35"/>
    <mergeCell ref="A36:F36"/>
    <mergeCell ref="G36:K36"/>
    <mergeCell ref="A3:K3"/>
    <mergeCell ref="A8:K8"/>
    <mergeCell ref="A9:K9"/>
    <mergeCell ref="A10:K10"/>
    <mergeCell ref="A11:F11"/>
    <mergeCell ref="G11:K11"/>
    <mergeCell ref="A23:K23"/>
  </mergeCells>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37" width="4.0"/>
  </cols>
  <sheetData>
    <row r="1" ht="19.5" customHeight="1">
      <c r="A1" s="760"/>
      <c r="B1" s="763" t="s">
        <v>1433</v>
      </c>
      <c r="C1" s="763" t="s">
        <v>1436</v>
      </c>
      <c r="D1" s="763" t="s">
        <v>1439</v>
      </c>
      <c r="E1" s="763" t="s">
        <v>1440</v>
      </c>
      <c r="F1" s="763" t="s">
        <v>1441</v>
      </c>
      <c r="G1" s="765" t="s">
        <v>1442</v>
      </c>
      <c r="H1" s="768" t="s">
        <v>1433</v>
      </c>
      <c r="I1" s="763" t="s">
        <v>1436</v>
      </c>
      <c r="J1" s="763" t="s">
        <v>1439</v>
      </c>
      <c r="K1" s="763" t="s">
        <v>1440</v>
      </c>
      <c r="L1" s="763" t="s">
        <v>1441</v>
      </c>
      <c r="M1" s="765" t="s">
        <v>1442</v>
      </c>
      <c r="N1" s="768" t="s">
        <v>1433</v>
      </c>
      <c r="O1" s="763" t="s">
        <v>1436</v>
      </c>
      <c r="P1" s="763" t="s">
        <v>1439</v>
      </c>
      <c r="Q1" s="763" t="s">
        <v>1440</v>
      </c>
      <c r="R1" s="763" t="s">
        <v>1441</v>
      </c>
      <c r="S1" s="765" t="s">
        <v>1442</v>
      </c>
      <c r="T1" s="768" t="s">
        <v>1433</v>
      </c>
      <c r="U1" s="763" t="s">
        <v>1436</v>
      </c>
      <c r="V1" s="763" t="s">
        <v>1439</v>
      </c>
      <c r="W1" s="763" t="s">
        <v>1440</v>
      </c>
      <c r="X1" s="763" t="s">
        <v>1441</v>
      </c>
      <c r="Y1" s="765" t="s">
        <v>1442</v>
      </c>
      <c r="Z1" s="768" t="s">
        <v>1433</v>
      </c>
      <c r="AA1" s="763" t="s">
        <v>1436</v>
      </c>
      <c r="AB1" s="763" t="s">
        <v>1439</v>
      </c>
      <c r="AC1" s="763" t="s">
        <v>1440</v>
      </c>
      <c r="AD1" s="763" t="s">
        <v>1441</v>
      </c>
      <c r="AE1" s="765" t="s">
        <v>1442</v>
      </c>
      <c r="AF1" s="768" t="s">
        <v>1433</v>
      </c>
      <c r="AG1" s="763" t="s">
        <v>1436</v>
      </c>
      <c r="AH1" s="763" t="s">
        <v>1439</v>
      </c>
      <c r="AI1" s="763" t="s">
        <v>1440</v>
      </c>
      <c r="AJ1" s="763" t="s">
        <v>1441</v>
      </c>
      <c r="AK1" s="765" t="s">
        <v>1442</v>
      </c>
    </row>
    <row r="2" ht="28.5" customHeight="1">
      <c r="A2" s="774" t="s">
        <v>190</v>
      </c>
      <c r="B2" s="779" t="s">
        <v>146</v>
      </c>
      <c r="C2" s="7"/>
      <c r="D2" s="7"/>
      <c r="E2" s="7"/>
      <c r="F2" s="7"/>
      <c r="G2" s="782"/>
      <c r="H2" s="785" t="s">
        <v>518</v>
      </c>
      <c r="I2" s="7"/>
      <c r="J2" s="7"/>
      <c r="K2" s="7"/>
      <c r="L2" s="7"/>
      <c r="M2" s="782"/>
      <c r="N2" s="787" t="s">
        <v>154</v>
      </c>
      <c r="O2" s="7"/>
      <c r="P2" s="7"/>
      <c r="Q2" s="7"/>
      <c r="R2" s="7"/>
      <c r="S2" s="782"/>
      <c r="T2" s="794" t="s">
        <v>21</v>
      </c>
      <c r="U2" s="7"/>
      <c r="V2" s="7"/>
      <c r="W2" s="7"/>
      <c r="X2" s="7"/>
      <c r="Y2" s="782"/>
      <c r="Z2" s="799" t="s">
        <v>28</v>
      </c>
      <c r="AA2" s="7"/>
      <c r="AB2" s="7"/>
      <c r="AC2" s="7"/>
      <c r="AD2" s="7"/>
      <c r="AE2" s="782"/>
      <c r="AF2" s="803" t="s">
        <v>158</v>
      </c>
      <c r="AG2" s="7"/>
      <c r="AH2" s="7"/>
      <c r="AI2" s="7"/>
      <c r="AJ2" s="7"/>
      <c r="AK2" s="782"/>
    </row>
    <row r="3" ht="19.5" customHeight="1">
      <c r="A3" s="806" t="s">
        <v>66</v>
      </c>
      <c r="B3" s="807">
        <v>80.0</v>
      </c>
      <c r="C3" s="807">
        <v>6.0</v>
      </c>
      <c r="D3" s="807">
        <v>6.0</v>
      </c>
      <c r="E3" s="807">
        <v>22.0</v>
      </c>
      <c r="F3" s="807">
        <v>22.0</v>
      </c>
      <c r="G3" s="809">
        <v>3.0</v>
      </c>
      <c r="H3" s="811">
        <v>75.0</v>
      </c>
      <c r="I3" s="813">
        <v>7.0</v>
      </c>
      <c r="J3" s="813">
        <v>7.0</v>
      </c>
      <c r="K3" s="813">
        <v>21.0</v>
      </c>
      <c r="L3" s="813">
        <v>21.0</v>
      </c>
      <c r="M3" s="814">
        <v>3.0</v>
      </c>
      <c r="N3" s="815">
        <v>85.0</v>
      </c>
      <c r="O3" s="816">
        <v>5.0</v>
      </c>
      <c r="P3" s="816">
        <v>5.0</v>
      </c>
      <c r="Q3" s="816">
        <v>30.0</v>
      </c>
      <c r="R3" s="816">
        <v>30.0</v>
      </c>
      <c r="S3" s="818">
        <v>3.0</v>
      </c>
      <c r="T3" s="820">
        <v>65.0</v>
      </c>
      <c r="U3" s="821">
        <v>11.0</v>
      </c>
      <c r="V3" s="821">
        <v>11.0</v>
      </c>
      <c r="W3" s="821">
        <v>16.0</v>
      </c>
      <c r="X3" s="821">
        <v>16.0</v>
      </c>
      <c r="Y3" s="824">
        <v>3.0</v>
      </c>
      <c r="Z3" s="825">
        <v>60.0</v>
      </c>
      <c r="AA3" s="826">
        <v>9.0</v>
      </c>
      <c r="AB3" s="826">
        <v>9.0</v>
      </c>
      <c r="AC3" s="826">
        <v>19.0</v>
      </c>
      <c r="AD3" s="826">
        <v>19.0</v>
      </c>
      <c r="AE3" s="829">
        <v>3.0</v>
      </c>
      <c r="AF3" s="831">
        <v>65.0</v>
      </c>
      <c r="AG3" s="832">
        <v>8.0</v>
      </c>
      <c r="AH3" s="832">
        <v>8.0</v>
      </c>
      <c r="AI3" s="832">
        <v>20.0</v>
      </c>
      <c r="AJ3" s="832">
        <v>20.0</v>
      </c>
      <c r="AK3" s="833">
        <v>4.0</v>
      </c>
    </row>
    <row r="4" ht="28.5" customHeight="1">
      <c r="A4" s="835" t="s">
        <v>1482</v>
      </c>
      <c r="B4" s="838" t="s">
        <v>114</v>
      </c>
      <c r="C4" s="7"/>
      <c r="D4" s="7"/>
      <c r="E4" s="7"/>
      <c r="F4" s="7"/>
      <c r="G4" s="782"/>
      <c r="H4" s="839" t="s">
        <v>108</v>
      </c>
      <c r="I4" s="7"/>
      <c r="J4" s="7"/>
      <c r="K4" s="7"/>
      <c r="L4" s="7"/>
      <c r="M4" s="782"/>
      <c r="N4" s="840" t="s">
        <v>118</v>
      </c>
      <c r="O4" s="7"/>
      <c r="P4" s="7"/>
      <c r="Q4" s="7"/>
      <c r="R4" s="7"/>
      <c r="S4" s="782"/>
      <c r="T4" s="842" t="s">
        <v>622</v>
      </c>
      <c r="U4" s="7"/>
      <c r="V4" s="7"/>
      <c r="W4" s="7"/>
      <c r="X4" s="7"/>
      <c r="Y4" s="782"/>
      <c r="Z4" s="843" t="s">
        <v>720</v>
      </c>
      <c r="AA4" s="7"/>
      <c r="AB4" s="7"/>
      <c r="AC4" s="7"/>
      <c r="AD4" s="7"/>
      <c r="AE4" s="782"/>
      <c r="AF4" s="845" t="s">
        <v>823</v>
      </c>
      <c r="AG4" s="7"/>
      <c r="AH4" s="7"/>
      <c r="AI4" s="7"/>
      <c r="AJ4" s="7"/>
      <c r="AK4" s="782"/>
    </row>
    <row r="5" ht="19.5" customHeight="1">
      <c r="A5" s="847" t="s">
        <v>66</v>
      </c>
      <c r="B5" s="848">
        <v>65.0</v>
      </c>
      <c r="C5" s="848">
        <v>11.0</v>
      </c>
      <c r="D5" s="848">
        <v>7.0</v>
      </c>
      <c r="E5" s="848">
        <v>13.0</v>
      </c>
      <c r="F5" s="848">
        <v>14.0</v>
      </c>
      <c r="G5" s="849">
        <v>1.0</v>
      </c>
      <c r="H5" s="850">
        <v>65.0</v>
      </c>
      <c r="I5" s="852">
        <v>12.0</v>
      </c>
      <c r="J5" s="852">
        <v>2.0</v>
      </c>
      <c r="K5" s="852">
        <v>6.0</v>
      </c>
      <c r="L5" s="852">
        <v>6.0</v>
      </c>
      <c r="M5" s="853">
        <v>1.0</v>
      </c>
      <c r="N5" s="854">
        <v>60.0</v>
      </c>
      <c r="O5" s="855">
        <v>10.0</v>
      </c>
      <c r="P5" s="855">
        <v>5.0</v>
      </c>
      <c r="Q5" s="855">
        <v>9.0</v>
      </c>
      <c r="R5" s="855">
        <v>9.0</v>
      </c>
      <c r="S5" s="856">
        <v>3.0</v>
      </c>
      <c r="T5" s="857">
        <v>70.0</v>
      </c>
      <c r="U5" s="860">
        <v>1.0</v>
      </c>
      <c r="V5" s="860">
        <v>13.0</v>
      </c>
      <c r="W5" s="860">
        <v>6.0</v>
      </c>
      <c r="X5" s="860">
        <v>10.0</v>
      </c>
      <c r="Y5" s="862">
        <v>2.0</v>
      </c>
      <c r="Z5" s="863">
        <v>60.0</v>
      </c>
      <c r="AA5" s="865">
        <v>2.0</v>
      </c>
      <c r="AB5" s="865">
        <v>14.0</v>
      </c>
      <c r="AC5" s="865">
        <v>9.0</v>
      </c>
      <c r="AD5" s="865">
        <v>9.0</v>
      </c>
      <c r="AE5" s="867">
        <v>1.0</v>
      </c>
      <c r="AF5" s="869">
        <v>65.0</v>
      </c>
      <c r="AG5" s="870">
        <v>0.0</v>
      </c>
      <c r="AH5" s="870">
        <v>11.0</v>
      </c>
      <c r="AI5" s="870">
        <v>12.0</v>
      </c>
      <c r="AJ5" s="870">
        <v>12.0</v>
      </c>
      <c r="AK5" s="872">
        <v>2.0</v>
      </c>
    </row>
    <row r="6" ht="28.5" customHeight="1">
      <c r="A6" s="835" t="s">
        <v>1491</v>
      </c>
      <c r="B6" s="874" t="s">
        <v>64</v>
      </c>
      <c r="C6" s="875"/>
      <c r="D6" s="875"/>
      <c r="E6" s="875"/>
      <c r="F6" s="875"/>
      <c r="G6" s="876"/>
      <c r="H6" s="878" t="s">
        <v>1496</v>
      </c>
      <c r="I6" s="875"/>
      <c r="J6" s="875"/>
      <c r="K6" s="875"/>
      <c r="L6" s="875"/>
      <c r="M6" s="876"/>
      <c r="N6" s="881" t="s">
        <v>856</v>
      </c>
      <c r="O6" s="875"/>
      <c r="P6" s="875"/>
      <c r="Q6" s="875"/>
      <c r="R6" s="875"/>
      <c r="S6" s="876"/>
      <c r="T6" s="884" t="s">
        <v>845</v>
      </c>
      <c r="U6" s="875"/>
      <c r="V6" s="875"/>
      <c r="W6" s="875"/>
      <c r="X6" s="875"/>
      <c r="Y6" s="876"/>
      <c r="Z6" s="885" t="s">
        <v>946</v>
      </c>
      <c r="AA6" s="875"/>
      <c r="AB6" s="875"/>
      <c r="AC6" s="875"/>
      <c r="AD6" s="875"/>
      <c r="AE6" s="876"/>
      <c r="AF6" s="887" t="s">
        <v>1015</v>
      </c>
      <c r="AG6" s="875"/>
      <c r="AH6" s="875"/>
      <c r="AI6" s="875"/>
      <c r="AJ6" s="875"/>
      <c r="AK6" s="876"/>
    </row>
    <row r="7" ht="19.5" customHeight="1">
      <c r="A7" s="847" t="s">
        <v>66</v>
      </c>
      <c r="B7" s="888">
        <v>60.0</v>
      </c>
      <c r="C7" s="888">
        <v>7.0</v>
      </c>
      <c r="D7" s="888">
        <v>13.0</v>
      </c>
      <c r="E7" s="888">
        <v>5.0</v>
      </c>
      <c r="F7" s="888">
        <v>16.0</v>
      </c>
      <c r="G7" s="890">
        <v>1.0</v>
      </c>
      <c r="H7" s="891">
        <v>65.0</v>
      </c>
      <c r="I7" s="892">
        <v>5.0</v>
      </c>
      <c r="J7" s="892">
        <v>9.0</v>
      </c>
      <c r="K7" s="892">
        <v>12.0</v>
      </c>
      <c r="L7" s="892">
        <v>9.0</v>
      </c>
      <c r="M7" s="893">
        <v>1.0</v>
      </c>
      <c r="N7" s="894">
        <v>65.0</v>
      </c>
      <c r="O7" s="895">
        <v>5.0</v>
      </c>
      <c r="P7" s="895">
        <v>11.0</v>
      </c>
      <c r="Q7" s="895">
        <v>9.0</v>
      </c>
      <c r="R7" s="895">
        <v>10.0</v>
      </c>
      <c r="S7" s="897">
        <v>2.0</v>
      </c>
      <c r="T7" s="898">
        <v>65.0</v>
      </c>
      <c r="U7" s="899">
        <v>6.0</v>
      </c>
      <c r="V7" s="899">
        <v>7.0</v>
      </c>
      <c r="W7" s="899">
        <v>15.0</v>
      </c>
      <c r="X7" s="899">
        <v>10.0</v>
      </c>
      <c r="Y7" s="900">
        <v>3.0</v>
      </c>
      <c r="Z7" s="901">
        <v>65.0</v>
      </c>
      <c r="AA7" s="902">
        <v>0.0</v>
      </c>
      <c r="AB7" s="902">
        <v>13.0</v>
      </c>
      <c r="AC7" s="902">
        <v>15.0</v>
      </c>
      <c r="AD7" s="902">
        <v>15.0</v>
      </c>
      <c r="AE7" s="904">
        <v>1.0</v>
      </c>
      <c r="AF7" s="905">
        <v>65.0</v>
      </c>
      <c r="AG7" s="906">
        <v>8.0</v>
      </c>
      <c r="AH7" s="906">
        <v>13.0</v>
      </c>
      <c r="AI7" s="906">
        <v>9.0</v>
      </c>
      <c r="AJ7" s="906">
        <v>9.0</v>
      </c>
      <c r="AK7" s="907">
        <v>2.0</v>
      </c>
    </row>
    <row r="8" ht="28.5" customHeight="1">
      <c r="A8" s="835" t="s">
        <v>1501</v>
      </c>
      <c r="B8" s="908" t="s">
        <v>162</v>
      </c>
      <c r="C8" s="875"/>
      <c r="D8" s="875"/>
      <c r="E8" s="875"/>
      <c r="F8" s="875"/>
      <c r="G8" s="876"/>
      <c r="H8" s="910" t="s">
        <v>70</v>
      </c>
      <c r="I8" s="875"/>
      <c r="J8" s="875"/>
      <c r="K8" s="875"/>
      <c r="L8" s="875"/>
      <c r="M8" s="876"/>
      <c r="N8" s="912" t="s">
        <v>56</v>
      </c>
      <c r="O8" s="875"/>
      <c r="P8" s="875"/>
      <c r="Q8" s="875"/>
      <c r="R8" s="875"/>
      <c r="S8" s="876"/>
      <c r="T8" s="913" t="s">
        <v>49</v>
      </c>
      <c r="U8" s="875"/>
      <c r="V8" s="875"/>
      <c r="W8" s="875"/>
      <c r="X8" s="875"/>
      <c r="Y8" s="876"/>
      <c r="Z8" s="915" t="s">
        <v>130</v>
      </c>
      <c r="AA8" s="875"/>
      <c r="AB8" s="875"/>
      <c r="AC8" s="875"/>
      <c r="AD8" s="875"/>
      <c r="AE8" s="876"/>
      <c r="AF8" s="916" t="s">
        <v>85</v>
      </c>
      <c r="AG8" s="875"/>
      <c r="AH8" s="875"/>
      <c r="AI8" s="875"/>
      <c r="AJ8" s="875"/>
      <c r="AK8" s="876"/>
    </row>
    <row r="9" ht="19.5" customHeight="1">
      <c r="A9" s="847" t="s">
        <v>66</v>
      </c>
      <c r="B9" s="918">
        <v>65.0</v>
      </c>
      <c r="C9" s="918">
        <v>14.0</v>
      </c>
      <c r="D9" s="918">
        <v>0.0</v>
      </c>
      <c r="E9" s="918">
        <v>15.0</v>
      </c>
      <c r="F9" s="918">
        <v>10.0</v>
      </c>
      <c r="G9" s="919">
        <v>2.0</v>
      </c>
      <c r="H9" s="920">
        <v>65.0</v>
      </c>
      <c r="I9" s="921">
        <v>10.0</v>
      </c>
      <c r="J9" s="921">
        <v>0.0</v>
      </c>
      <c r="K9" s="921">
        <v>12.0</v>
      </c>
      <c r="L9" s="921">
        <v>12.0</v>
      </c>
      <c r="M9" s="922">
        <v>3.0</v>
      </c>
      <c r="N9" s="923">
        <v>60.0</v>
      </c>
      <c r="O9" s="924">
        <v>10.0</v>
      </c>
      <c r="P9" s="924">
        <v>9.0</v>
      </c>
      <c r="Q9" s="924">
        <v>13.0</v>
      </c>
      <c r="R9" s="924">
        <v>11.0</v>
      </c>
      <c r="S9" s="925">
        <v>2.0</v>
      </c>
      <c r="T9" s="927">
        <v>65.0</v>
      </c>
      <c r="U9" s="928">
        <v>12.0</v>
      </c>
      <c r="V9" s="928">
        <v>5.0</v>
      </c>
      <c r="W9" s="928">
        <v>14.0</v>
      </c>
      <c r="X9" s="928">
        <v>14.0</v>
      </c>
      <c r="Y9" s="929">
        <v>2.0</v>
      </c>
      <c r="Z9" s="930">
        <v>65.0</v>
      </c>
      <c r="AA9" s="931">
        <v>11.0</v>
      </c>
      <c r="AB9" s="931">
        <v>4.0</v>
      </c>
      <c r="AC9" s="931">
        <v>9.0</v>
      </c>
      <c r="AD9" s="931">
        <v>9.0</v>
      </c>
      <c r="AE9" s="933">
        <v>3.0</v>
      </c>
      <c r="AF9" s="934">
        <v>70.0</v>
      </c>
      <c r="AG9" s="935">
        <v>12.0</v>
      </c>
      <c r="AH9" s="935">
        <v>9.0</v>
      </c>
      <c r="AI9" s="935">
        <v>15.0</v>
      </c>
      <c r="AJ9" s="935">
        <v>15.0</v>
      </c>
      <c r="AK9" s="936">
        <v>2.0</v>
      </c>
    </row>
    <row r="10" ht="28.5" customHeight="1">
      <c r="A10" s="835" t="s">
        <v>1502</v>
      </c>
      <c r="B10" s="937" t="s">
        <v>127</v>
      </c>
      <c r="C10" s="875"/>
      <c r="D10" s="875"/>
      <c r="E10" s="875"/>
      <c r="F10" s="875"/>
      <c r="G10" s="876"/>
      <c r="H10" s="938" t="s">
        <v>39</v>
      </c>
      <c r="I10" s="875"/>
      <c r="J10" s="875"/>
      <c r="K10" s="875"/>
      <c r="L10" s="875"/>
      <c r="M10" s="876"/>
      <c r="N10" s="939" t="s">
        <v>1270</v>
      </c>
      <c r="O10" s="875"/>
      <c r="P10" s="875"/>
      <c r="Q10" s="875"/>
      <c r="R10" s="875"/>
      <c r="S10" s="876"/>
      <c r="T10" s="940" t="s">
        <v>1133</v>
      </c>
      <c r="U10" s="875"/>
      <c r="V10" s="875"/>
      <c r="W10" s="875"/>
      <c r="X10" s="875"/>
      <c r="Y10" s="876"/>
      <c r="Z10" s="941" t="s">
        <v>1253</v>
      </c>
      <c r="AA10" s="875"/>
      <c r="AB10" s="875"/>
      <c r="AC10" s="875"/>
      <c r="AD10" s="875"/>
      <c r="AE10" s="876"/>
      <c r="AF10" s="942" t="s">
        <v>1367</v>
      </c>
      <c r="AG10" s="875"/>
      <c r="AH10" s="875"/>
      <c r="AI10" s="875"/>
      <c r="AJ10" s="875"/>
      <c r="AK10" s="876"/>
    </row>
    <row r="11" ht="19.5" customHeight="1">
      <c r="A11" s="847" t="s">
        <v>66</v>
      </c>
      <c r="B11" s="943">
        <v>60.0</v>
      </c>
      <c r="C11" s="943">
        <v>19.0</v>
      </c>
      <c r="D11" s="943">
        <v>7.0</v>
      </c>
      <c r="E11" s="943">
        <v>11.0</v>
      </c>
      <c r="F11" s="943">
        <v>11.0</v>
      </c>
      <c r="G11" s="944">
        <v>1.0</v>
      </c>
      <c r="H11" s="945">
        <v>70.0</v>
      </c>
      <c r="I11" s="946">
        <v>15.0</v>
      </c>
      <c r="J11" s="946">
        <v>7.0</v>
      </c>
      <c r="K11" s="946">
        <v>19.0</v>
      </c>
      <c r="L11" s="946">
        <v>8.0</v>
      </c>
      <c r="M11" s="947">
        <v>1.0</v>
      </c>
      <c r="N11" s="948">
        <v>65.0</v>
      </c>
      <c r="O11" s="949">
        <v>13.0</v>
      </c>
      <c r="P11" s="949">
        <v>8.0</v>
      </c>
      <c r="Q11" s="949">
        <v>17.0</v>
      </c>
      <c r="R11" s="949">
        <v>10.0</v>
      </c>
      <c r="S11" s="950">
        <v>2.0</v>
      </c>
      <c r="T11" s="951">
        <v>70.0</v>
      </c>
      <c r="U11" s="952">
        <v>12.0</v>
      </c>
      <c r="V11" s="952">
        <v>4.0</v>
      </c>
      <c r="W11" s="952">
        <v>14.0</v>
      </c>
      <c r="X11" s="952">
        <v>14.0</v>
      </c>
      <c r="Y11" s="953">
        <v>2.0</v>
      </c>
      <c r="Z11" s="954">
        <v>70.0</v>
      </c>
      <c r="AA11" s="955">
        <v>0.0</v>
      </c>
      <c r="AB11" s="955">
        <v>5.0</v>
      </c>
      <c r="AC11" s="955">
        <v>10.0</v>
      </c>
      <c r="AD11" s="955">
        <v>15.0</v>
      </c>
      <c r="AE11" s="956">
        <v>2.0</v>
      </c>
      <c r="AF11" s="957">
        <v>65.0</v>
      </c>
      <c r="AG11" s="958">
        <v>7.0</v>
      </c>
      <c r="AH11" s="958">
        <v>11.0</v>
      </c>
      <c r="AI11" s="958">
        <v>15.0</v>
      </c>
      <c r="AJ11" s="958">
        <v>15.0</v>
      </c>
      <c r="AK11" s="959">
        <v>2.0</v>
      </c>
    </row>
    <row r="12" ht="27.0" customHeight="1">
      <c r="A12" s="835" t="s">
        <v>444</v>
      </c>
      <c r="B12" s="960" t="s">
        <v>1139</v>
      </c>
      <c r="C12" s="875"/>
      <c r="D12" s="875"/>
      <c r="E12" s="875"/>
      <c r="F12" s="875"/>
      <c r="G12" s="876"/>
      <c r="H12" s="961" t="s">
        <v>102</v>
      </c>
      <c r="I12" s="875"/>
      <c r="J12" s="875"/>
      <c r="K12" s="875"/>
      <c r="L12" s="875"/>
      <c r="M12" s="876"/>
      <c r="N12" s="962" t="s">
        <v>1313</v>
      </c>
      <c r="O12" s="875"/>
      <c r="P12" s="875"/>
      <c r="Q12" s="875"/>
      <c r="R12" s="875"/>
      <c r="S12" s="876"/>
      <c r="T12" s="963"/>
      <c r="U12" s="875"/>
      <c r="V12" s="875"/>
      <c r="W12" s="875"/>
      <c r="X12" s="875"/>
      <c r="Y12" s="876"/>
      <c r="Z12" s="963"/>
      <c r="AA12" s="875"/>
      <c r="AB12" s="875"/>
      <c r="AC12" s="875"/>
      <c r="AD12" s="875"/>
      <c r="AE12" s="876"/>
      <c r="AF12" s="963"/>
      <c r="AG12" s="875"/>
      <c r="AH12" s="875"/>
      <c r="AI12" s="875"/>
      <c r="AJ12" s="875"/>
      <c r="AK12" s="876"/>
    </row>
    <row r="13" ht="19.5" customHeight="1">
      <c r="A13" s="847" t="s">
        <v>66</v>
      </c>
      <c r="B13" s="964">
        <v>65.0</v>
      </c>
      <c r="C13" s="965">
        <v>13.0</v>
      </c>
      <c r="D13" s="965">
        <v>13.0</v>
      </c>
      <c r="E13" s="965">
        <v>10.0</v>
      </c>
      <c r="F13" s="965">
        <v>10.0</v>
      </c>
      <c r="G13" s="966">
        <v>1.0</v>
      </c>
      <c r="H13" s="967">
        <v>60.0</v>
      </c>
      <c r="I13" s="968">
        <v>4.0</v>
      </c>
      <c r="J13" s="968">
        <v>12.0</v>
      </c>
      <c r="K13" s="968">
        <v>7.0</v>
      </c>
      <c r="L13" s="968">
        <v>27.0</v>
      </c>
      <c r="M13" s="969">
        <v>1.0</v>
      </c>
      <c r="N13" s="970">
        <v>70.0</v>
      </c>
      <c r="O13" s="971">
        <v>3.0</v>
      </c>
      <c r="P13" s="971">
        <v>7.0</v>
      </c>
      <c r="Q13" s="971">
        <v>5.0</v>
      </c>
      <c r="R13" s="971">
        <v>5.0</v>
      </c>
      <c r="S13" s="972">
        <v>1.0</v>
      </c>
      <c r="T13" s="973"/>
      <c r="U13" s="974"/>
      <c r="V13" s="974"/>
      <c r="W13" s="974"/>
      <c r="X13" s="974"/>
      <c r="Y13" s="975"/>
      <c r="Z13" s="976"/>
      <c r="AA13" s="977"/>
      <c r="AB13" s="978"/>
      <c r="AC13" s="977"/>
      <c r="AD13" s="977"/>
      <c r="AE13" s="979"/>
      <c r="AF13" s="976"/>
      <c r="AG13" s="977"/>
      <c r="AH13" s="977"/>
      <c r="AI13" s="977"/>
      <c r="AJ13" s="977"/>
      <c r="AK13" s="979"/>
    </row>
  </sheetData>
  <mergeCells count="36">
    <mergeCell ref="T4:Y4"/>
    <mergeCell ref="Z4:AE4"/>
    <mergeCell ref="B2:G2"/>
    <mergeCell ref="H2:M2"/>
    <mergeCell ref="N2:S2"/>
    <mergeCell ref="T2:Y2"/>
    <mergeCell ref="Z2:AE2"/>
    <mergeCell ref="AF2:AK2"/>
    <mergeCell ref="B4:G4"/>
    <mergeCell ref="AF4:AK4"/>
    <mergeCell ref="H4:M4"/>
    <mergeCell ref="N4:S4"/>
    <mergeCell ref="H6:M6"/>
    <mergeCell ref="N6:S6"/>
    <mergeCell ref="T6:Y6"/>
    <mergeCell ref="Z6:AE6"/>
    <mergeCell ref="AF6:AK6"/>
    <mergeCell ref="B6:G6"/>
    <mergeCell ref="B8:G8"/>
    <mergeCell ref="H8:M8"/>
    <mergeCell ref="N8:S8"/>
    <mergeCell ref="T8:Y8"/>
    <mergeCell ref="Z8:AE8"/>
    <mergeCell ref="AF8:AK8"/>
    <mergeCell ref="H12:M12"/>
    <mergeCell ref="N12:S12"/>
    <mergeCell ref="T12:Y12"/>
    <mergeCell ref="Z12:AE12"/>
    <mergeCell ref="B10:G10"/>
    <mergeCell ref="H10:M10"/>
    <mergeCell ref="N10:S10"/>
    <mergeCell ref="T10:Y10"/>
    <mergeCell ref="Z10:AE10"/>
    <mergeCell ref="AF10:AK10"/>
    <mergeCell ref="B12:G12"/>
    <mergeCell ref="AF12:AK1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37" width="4.0"/>
  </cols>
  <sheetData>
    <row r="1" ht="19.5" customHeight="1">
      <c r="A1" s="757"/>
      <c r="B1" s="758" t="s">
        <v>1433</v>
      </c>
      <c r="C1" s="759" t="s">
        <v>1436</v>
      </c>
      <c r="D1" s="759" t="s">
        <v>1439</v>
      </c>
      <c r="E1" s="759" t="s">
        <v>1440</v>
      </c>
      <c r="F1" s="759" t="s">
        <v>1441</v>
      </c>
      <c r="G1" s="761" t="s">
        <v>1442</v>
      </c>
      <c r="H1" s="758" t="s">
        <v>1433</v>
      </c>
      <c r="I1" s="759" t="s">
        <v>1436</v>
      </c>
      <c r="J1" s="759" t="s">
        <v>1439</v>
      </c>
      <c r="K1" s="759" t="s">
        <v>1440</v>
      </c>
      <c r="L1" s="759" t="s">
        <v>1441</v>
      </c>
      <c r="M1" s="761" t="s">
        <v>1442</v>
      </c>
      <c r="N1" s="758" t="s">
        <v>1433</v>
      </c>
      <c r="O1" s="759" t="s">
        <v>1436</v>
      </c>
      <c r="P1" s="759" t="s">
        <v>1439</v>
      </c>
      <c r="Q1" s="759" t="s">
        <v>1440</v>
      </c>
      <c r="R1" s="759" t="s">
        <v>1441</v>
      </c>
      <c r="S1" s="761" t="s">
        <v>1442</v>
      </c>
      <c r="T1" s="758" t="s">
        <v>1433</v>
      </c>
      <c r="U1" s="759" t="s">
        <v>1436</v>
      </c>
      <c r="V1" s="759" t="s">
        <v>1439</v>
      </c>
      <c r="W1" s="759" t="s">
        <v>1440</v>
      </c>
      <c r="X1" s="759" t="s">
        <v>1441</v>
      </c>
      <c r="Y1" s="761" t="s">
        <v>1442</v>
      </c>
      <c r="Z1" s="758" t="s">
        <v>1433</v>
      </c>
      <c r="AA1" s="759" t="s">
        <v>1436</v>
      </c>
      <c r="AB1" s="759" t="s">
        <v>1439</v>
      </c>
      <c r="AC1" s="759" t="s">
        <v>1440</v>
      </c>
      <c r="AD1" s="759" t="s">
        <v>1441</v>
      </c>
      <c r="AE1" s="761" t="s">
        <v>1442</v>
      </c>
      <c r="AF1" s="758" t="s">
        <v>1433</v>
      </c>
      <c r="AG1" s="759" t="s">
        <v>1436</v>
      </c>
      <c r="AH1" s="759" t="s">
        <v>1439</v>
      </c>
      <c r="AI1" s="759" t="s">
        <v>1440</v>
      </c>
      <c r="AJ1" s="759" t="s">
        <v>1441</v>
      </c>
      <c r="AK1" s="761" t="s">
        <v>1442</v>
      </c>
    </row>
    <row r="2" ht="28.5" customHeight="1">
      <c r="A2" s="770" t="s">
        <v>190</v>
      </c>
      <c r="B2" s="775" t="s">
        <v>146</v>
      </c>
      <c r="C2" s="777"/>
      <c r="D2" s="777"/>
      <c r="E2" s="777"/>
      <c r="F2" s="777"/>
      <c r="G2" s="781"/>
      <c r="H2" s="784" t="s">
        <v>518</v>
      </c>
      <c r="I2" s="777"/>
      <c r="J2" s="777"/>
      <c r="K2" s="777"/>
      <c r="L2" s="777"/>
      <c r="M2" s="781"/>
      <c r="N2" s="791" t="s">
        <v>154</v>
      </c>
      <c r="O2" s="777"/>
      <c r="P2" s="777"/>
      <c r="Q2" s="777"/>
      <c r="R2" s="777"/>
      <c r="S2" s="781"/>
      <c r="T2" s="796" t="s">
        <v>21</v>
      </c>
      <c r="U2" s="777"/>
      <c r="V2" s="777"/>
      <c r="W2" s="777"/>
      <c r="X2" s="777"/>
      <c r="Y2" s="781"/>
      <c r="Z2" s="801" t="s">
        <v>28</v>
      </c>
      <c r="AA2" s="777"/>
      <c r="AB2" s="777"/>
      <c r="AC2" s="777"/>
      <c r="AD2" s="777"/>
      <c r="AE2" s="781"/>
      <c r="AF2" s="804" t="s">
        <v>158</v>
      </c>
      <c r="AG2" s="777"/>
      <c r="AH2" s="777"/>
      <c r="AI2" s="777"/>
      <c r="AJ2" s="777"/>
      <c r="AK2" s="781"/>
    </row>
    <row r="3" ht="19.5" customHeight="1">
      <c r="A3" s="808">
        <v>1.0</v>
      </c>
      <c r="B3" s="828">
        <f t="shared" ref="B3:B11" si="7">ROUNDUP(((B$12*POWER(0.99,14*(10-$A3))/2)+B$12/2)/5,0)*5</f>
        <v>55</v>
      </c>
      <c r="C3" s="841">
        <f t="shared" ref="C3:F3" si="1">ROUND((C$12*POWER(0.99,14*(10-$A3))/2)+C$12/2,0)</f>
        <v>4</v>
      </c>
      <c r="D3" s="841">
        <f t="shared" si="1"/>
        <v>4</v>
      </c>
      <c r="E3" s="841">
        <f t="shared" si="1"/>
        <v>14</v>
      </c>
      <c r="F3" s="841">
        <f t="shared" si="1"/>
        <v>14</v>
      </c>
      <c r="G3" s="844">
        <f t="shared" ref="G3:G11" si="9">G$12</f>
        <v>3</v>
      </c>
      <c r="H3" s="851">
        <f t="shared" ref="H3:H11" si="10">ROUNDUP(((H$12*POWER(0.99,14*(10-$A3))/2)+H$12/2)/5,0)*5</f>
        <v>50</v>
      </c>
      <c r="I3" s="858">
        <f t="shared" ref="I3:L3" si="2">ROUND((I$12*POWER(0.99,14*(10-$A3))/2)+I$12/2,0)</f>
        <v>4</v>
      </c>
      <c r="J3" s="858">
        <f t="shared" si="2"/>
        <v>4</v>
      </c>
      <c r="K3" s="858">
        <f t="shared" si="2"/>
        <v>13</v>
      </c>
      <c r="L3" s="858">
        <f t="shared" si="2"/>
        <v>13</v>
      </c>
      <c r="M3" s="871">
        <f t="shared" ref="M3:M11" si="12">M$12</f>
        <v>3</v>
      </c>
      <c r="N3" s="877">
        <f t="shared" ref="N3:N11" si="13">ROUNDUP(((N$12*POWER(0.99,14*(10-$A3))/2)+N$12/2)/5,0)*5</f>
        <v>55</v>
      </c>
      <c r="O3" s="882">
        <f t="shared" ref="O3:R3" si="3">ROUND((O$12*POWER(0.99,14*(10-$A3))/2)+O$12/2,0)</f>
        <v>3</v>
      </c>
      <c r="P3" s="882">
        <f t="shared" si="3"/>
        <v>3</v>
      </c>
      <c r="Q3" s="882">
        <f t="shared" si="3"/>
        <v>19</v>
      </c>
      <c r="R3" s="882">
        <f t="shared" si="3"/>
        <v>19</v>
      </c>
      <c r="S3" s="886">
        <f t="shared" ref="S3:S8" si="15">S$12</f>
        <v>3</v>
      </c>
      <c r="T3" s="889">
        <f t="shared" ref="T3:T11" si="16">ROUNDUP(((T$12*POWER(0.99,14*(10-$A3))/2)+T$12/2)/5,0)*5</f>
        <v>45</v>
      </c>
      <c r="U3" s="896">
        <f t="shared" ref="U3:X3" si="4">ROUND((U$12*POWER(0.99,14*(10-$A3))/2)+U$12/2,0)</f>
        <v>7</v>
      </c>
      <c r="V3" s="896">
        <f t="shared" si="4"/>
        <v>7</v>
      </c>
      <c r="W3" s="896">
        <f t="shared" si="4"/>
        <v>10</v>
      </c>
      <c r="X3" s="896">
        <f t="shared" si="4"/>
        <v>10</v>
      </c>
      <c r="Y3" s="903">
        <f t="shared" ref="Y3:Y11" si="18">Y$12</f>
        <v>3</v>
      </c>
      <c r="Z3" s="909">
        <f t="shared" ref="Z3:Z11" si="19">ROUNDUP(((Z$12*POWER(0.99,14*(10-$A3))/2)+Z$12/2)/5,0)*5</f>
        <v>40</v>
      </c>
      <c r="AA3" s="911">
        <f t="shared" ref="AA3:AD3" si="5">ROUND((AA$12*POWER(0.99,14*(10-$A3))/2)+AA$12/2,0)</f>
        <v>6</v>
      </c>
      <c r="AB3" s="911">
        <f t="shared" si="5"/>
        <v>6</v>
      </c>
      <c r="AC3" s="911">
        <f t="shared" si="5"/>
        <v>12</v>
      </c>
      <c r="AD3" s="911">
        <f t="shared" si="5"/>
        <v>12</v>
      </c>
      <c r="AE3" s="914">
        <f t="shared" ref="AE3:AE11" si="21">AE$12</f>
        <v>3</v>
      </c>
      <c r="AF3" s="917">
        <f t="shared" ref="AF3:AF11" si="22">ROUNDUP(((AF$12*POWER(0.99,14*(10-$A3))/2)+AF$12/2)/5,0)*5</f>
        <v>45</v>
      </c>
      <c r="AG3" s="926">
        <f t="shared" ref="AG3:AJ3" si="6">ROUND((AG$12*POWER(0.99,14*(10-$A3))/2)+AG$12/2,0)</f>
        <v>5</v>
      </c>
      <c r="AH3" s="926">
        <f t="shared" si="6"/>
        <v>5</v>
      </c>
      <c r="AI3" s="926">
        <f t="shared" si="6"/>
        <v>13</v>
      </c>
      <c r="AJ3" s="926">
        <f t="shared" si="6"/>
        <v>13</v>
      </c>
      <c r="AK3" s="932">
        <f t="shared" ref="AK3:AK11" si="24">AK$12</f>
        <v>4</v>
      </c>
    </row>
    <row r="4" ht="19.5" customHeight="1">
      <c r="A4" s="808">
        <v>2.0</v>
      </c>
      <c r="B4" s="828">
        <f t="shared" si="7"/>
        <v>55</v>
      </c>
      <c r="C4" s="841">
        <f t="shared" ref="C4:F4" si="8">ROUND((C$12*POWER(0.99,14*(10-$A4))/2)+C$12/2,0)</f>
        <v>4</v>
      </c>
      <c r="D4" s="841">
        <f t="shared" si="8"/>
        <v>4</v>
      </c>
      <c r="E4" s="841">
        <f t="shared" si="8"/>
        <v>15</v>
      </c>
      <c r="F4" s="841">
        <f t="shared" si="8"/>
        <v>15</v>
      </c>
      <c r="G4" s="844">
        <f t="shared" si="9"/>
        <v>3</v>
      </c>
      <c r="H4" s="851">
        <f t="shared" si="10"/>
        <v>50</v>
      </c>
      <c r="I4" s="858">
        <f t="shared" ref="I4:L4" si="11">ROUND((I$12*POWER(0.99,14*(10-$A4))/2)+I$12/2,0)</f>
        <v>5</v>
      </c>
      <c r="J4" s="858">
        <f t="shared" si="11"/>
        <v>5</v>
      </c>
      <c r="K4" s="858">
        <f t="shared" si="11"/>
        <v>14</v>
      </c>
      <c r="L4" s="858">
        <f t="shared" si="11"/>
        <v>14</v>
      </c>
      <c r="M4" s="871">
        <f t="shared" si="12"/>
        <v>3</v>
      </c>
      <c r="N4" s="877">
        <f t="shared" si="13"/>
        <v>60</v>
      </c>
      <c r="O4" s="882">
        <f t="shared" ref="O4:R4" si="14">ROUND((O$12*POWER(0.99,14*(10-$A4))/2)+O$12/2,0)</f>
        <v>3</v>
      </c>
      <c r="P4" s="882">
        <f t="shared" si="14"/>
        <v>3</v>
      </c>
      <c r="Q4" s="882">
        <f t="shared" si="14"/>
        <v>20</v>
      </c>
      <c r="R4" s="882">
        <f t="shared" si="14"/>
        <v>20</v>
      </c>
      <c r="S4" s="886">
        <f t="shared" si="15"/>
        <v>3</v>
      </c>
      <c r="T4" s="889">
        <f t="shared" si="16"/>
        <v>45</v>
      </c>
      <c r="U4" s="896">
        <f t="shared" ref="U4:X4" si="17">ROUND((U$12*POWER(0.99,14*(10-$A4))/2)+U$12/2,0)</f>
        <v>7</v>
      </c>
      <c r="V4" s="896">
        <f t="shared" si="17"/>
        <v>7</v>
      </c>
      <c r="W4" s="896">
        <f t="shared" si="17"/>
        <v>11</v>
      </c>
      <c r="X4" s="896">
        <f t="shared" si="17"/>
        <v>11</v>
      </c>
      <c r="Y4" s="903">
        <f t="shared" si="18"/>
        <v>3</v>
      </c>
      <c r="Z4" s="909">
        <f t="shared" si="19"/>
        <v>40</v>
      </c>
      <c r="AA4" s="911">
        <f t="shared" ref="AA4:AD4" si="20">ROUND((AA$12*POWER(0.99,14*(10-$A4))/2)+AA$12/2,0)</f>
        <v>6</v>
      </c>
      <c r="AB4" s="911">
        <f t="shared" si="20"/>
        <v>6</v>
      </c>
      <c r="AC4" s="911">
        <f t="shared" si="20"/>
        <v>13</v>
      </c>
      <c r="AD4" s="911">
        <f t="shared" si="20"/>
        <v>13</v>
      </c>
      <c r="AE4" s="914">
        <f t="shared" si="21"/>
        <v>3</v>
      </c>
      <c r="AF4" s="917">
        <f t="shared" si="22"/>
        <v>45</v>
      </c>
      <c r="AG4" s="926">
        <f t="shared" ref="AG4:AJ4" si="23">ROUND((AG$12*POWER(0.99,14*(10-$A4))/2)+AG$12/2,0)</f>
        <v>5</v>
      </c>
      <c r="AH4" s="926">
        <f t="shared" si="23"/>
        <v>5</v>
      </c>
      <c r="AI4" s="926">
        <f t="shared" si="23"/>
        <v>13</v>
      </c>
      <c r="AJ4" s="926">
        <f t="shared" si="23"/>
        <v>13</v>
      </c>
      <c r="AK4" s="932">
        <f t="shared" si="24"/>
        <v>4</v>
      </c>
    </row>
    <row r="5" ht="19.5" customHeight="1">
      <c r="A5" s="808">
        <v>3.0</v>
      </c>
      <c r="B5" s="828">
        <f t="shared" si="7"/>
        <v>55</v>
      </c>
      <c r="C5" s="841">
        <f t="shared" ref="C5:F5" si="25">ROUND((C$12*POWER(0.99,14*(10-$A5))/2)+C$12/2,0)</f>
        <v>4</v>
      </c>
      <c r="D5" s="841">
        <f t="shared" si="25"/>
        <v>4</v>
      </c>
      <c r="E5" s="841">
        <f t="shared" si="25"/>
        <v>15</v>
      </c>
      <c r="F5" s="841">
        <f t="shared" si="25"/>
        <v>15</v>
      </c>
      <c r="G5" s="844">
        <f t="shared" si="9"/>
        <v>3</v>
      </c>
      <c r="H5" s="851">
        <f t="shared" si="10"/>
        <v>55</v>
      </c>
      <c r="I5" s="858">
        <f t="shared" ref="I5:L5" si="26">ROUND((I$12*POWER(0.99,14*(10-$A5))/2)+I$12/2,0)</f>
        <v>5</v>
      </c>
      <c r="J5" s="858">
        <f t="shared" si="26"/>
        <v>5</v>
      </c>
      <c r="K5" s="858">
        <f t="shared" si="26"/>
        <v>14</v>
      </c>
      <c r="L5" s="858">
        <f t="shared" si="26"/>
        <v>14</v>
      </c>
      <c r="M5" s="871">
        <f t="shared" si="12"/>
        <v>3</v>
      </c>
      <c r="N5" s="877">
        <f t="shared" si="13"/>
        <v>60</v>
      </c>
      <c r="O5" s="882">
        <f t="shared" ref="O5:R5" si="27">ROUND((O$12*POWER(0.99,14*(10-$A5))/2)+O$12/2,0)</f>
        <v>3</v>
      </c>
      <c r="P5" s="882">
        <f t="shared" si="27"/>
        <v>3</v>
      </c>
      <c r="Q5" s="882">
        <f t="shared" si="27"/>
        <v>21</v>
      </c>
      <c r="R5" s="882">
        <f t="shared" si="27"/>
        <v>21</v>
      </c>
      <c r="S5" s="886">
        <f t="shared" si="15"/>
        <v>3</v>
      </c>
      <c r="T5" s="889">
        <f t="shared" si="16"/>
        <v>45</v>
      </c>
      <c r="U5" s="896">
        <f t="shared" ref="U5:X5" si="28">ROUND((U$12*POWER(0.99,14*(10-$A5))/2)+U$12/2,0)</f>
        <v>8</v>
      </c>
      <c r="V5" s="896">
        <f t="shared" si="28"/>
        <v>8</v>
      </c>
      <c r="W5" s="896">
        <f t="shared" si="28"/>
        <v>11</v>
      </c>
      <c r="X5" s="896">
        <f t="shared" si="28"/>
        <v>11</v>
      </c>
      <c r="Y5" s="903">
        <f t="shared" si="18"/>
        <v>3</v>
      </c>
      <c r="Z5" s="909">
        <f t="shared" si="19"/>
        <v>45</v>
      </c>
      <c r="AA5" s="911">
        <f t="shared" ref="AA5:AD5" si="29">ROUND((AA$12*POWER(0.99,14*(10-$A5))/2)+AA$12/2,0)</f>
        <v>6</v>
      </c>
      <c r="AB5" s="911">
        <f t="shared" si="29"/>
        <v>6</v>
      </c>
      <c r="AC5" s="911">
        <f t="shared" si="29"/>
        <v>13</v>
      </c>
      <c r="AD5" s="911">
        <f t="shared" si="29"/>
        <v>13</v>
      </c>
      <c r="AE5" s="914">
        <f t="shared" si="21"/>
        <v>3</v>
      </c>
      <c r="AF5" s="917">
        <f t="shared" si="22"/>
        <v>45</v>
      </c>
      <c r="AG5" s="926">
        <f t="shared" ref="AG5:AJ5" si="30">ROUND((AG$12*POWER(0.99,14*(10-$A5))/2)+AG$12/2,0)</f>
        <v>5</v>
      </c>
      <c r="AH5" s="926">
        <f t="shared" si="30"/>
        <v>5</v>
      </c>
      <c r="AI5" s="926">
        <f t="shared" si="30"/>
        <v>14</v>
      </c>
      <c r="AJ5" s="926">
        <f t="shared" si="30"/>
        <v>14</v>
      </c>
      <c r="AK5" s="932">
        <f t="shared" si="24"/>
        <v>4</v>
      </c>
    </row>
    <row r="6" ht="19.5" customHeight="1">
      <c r="A6" s="808">
        <v>4.0</v>
      </c>
      <c r="B6" s="828">
        <f t="shared" si="7"/>
        <v>60</v>
      </c>
      <c r="C6" s="841">
        <f t="shared" ref="C6:F6" si="31">ROUND((C$12*POWER(0.99,14*(10-$A6))/2)+C$12/2,0)</f>
        <v>4</v>
      </c>
      <c r="D6" s="841">
        <f t="shared" si="31"/>
        <v>4</v>
      </c>
      <c r="E6" s="841">
        <f t="shared" si="31"/>
        <v>16</v>
      </c>
      <c r="F6" s="841">
        <f t="shared" si="31"/>
        <v>16</v>
      </c>
      <c r="G6" s="844">
        <f t="shared" si="9"/>
        <v>3</v>
      </c>
      <c r="H6" s="851">
        <f t="shared" si="10"/>
        <v>55</v>
      </c>
      <c r="I6" s="858">
        <f t="shared" ref="I6:L6" si="32">ROUND((I$12*POWER(0.99,14*(10-$A6))/2)+I$12/2,0)</f>
        <v>5</v>
      </c>
      <c r="J6" s="858">
        <f t="shared" si="32"/>
        <v>5</v>
      </c>
      <c r="K6" s="858">
        <f t="shared" si="32"/>
        <v>15</v>
      </c>
      <c r="L6" s="858">
        <f t="shared" si="32"/>
        <v>15</v>
      </c>
      <c r="M6" s="871">
        <f t="shared" si="12"/>
        <v>3</v>
      </c>
      <c r="N6" s="877">
        <f t="shared" si="13"/>
        <v>65</v>
      </c>
      <c r="O6" s="882">
        <f t="shared" ref="O6:R6" si="33">ROUND((O$12*POWER(0.99,14*(10-$A6))/2)+O$12/2,0)</f>
        <v>4</v>
      </c>
      <c r="P6" s="882">
        <f t="shared" si="33"/>
        <v>4</v>
      </c>
      <c r="Q6" s="882">
        <f t="shared" si="33"/>
        <v>21</v>
      </c>
      <c r="R6" s="882">
        <f t="shared" si="33"/>
        <v>21</v>
      </c>
      <c r="S6" s="886">
        <f t="shared" si="15"/>
        <v>3</v>
      </c>
      <c r="T6" s="889">
        <f t="shared" si="16"/>
        <v>50</v>
      </c>
      <c r="U6" s="896">
        <f t="shared" ref="U6:X6" si="34">ROUND((U$12*POWER(0.99,14*(10-$A6))/2)+U$12/2,0)</f>
        <v>8</v>
      </c>
      <c r="V6" s="896">
        <f t="shared" si="34"/>
        <v>8</v>
      </c>
      <c r="W6" s="896">
        <f t="shared" si="34"/>
        <v>11</v>
      </c>
      <c r="X6" s="896">
        <f t="shared" si="34"/>
        <v>11</v>
      </c>
      <c r="Y6" s="903">
        <f t="shared" si="18"/>
        <v>3</v>
      </c>
      <c r="Z6" s="909">
        <f t="shared" si="19"/>
        <v>45</v>
      </c>
      <c r="AA6" s="911">
        <f t="shared" ref="AA6:AD6" si="35">ROUND((AA$12*POWER(0.99,14*(10-$A6))/2)+AA$12/2,0)</f>
        <v>6</v>
      </c>
      <c r="AB6" s="911">
        <f t="shared" si="35"/>
        <v>6</v>
      </c>
      <c r="AC6" s="911">
        <f t="shared" si="35"/>
        <v>14</v>
      </c>
      <c r="AD6" s="911">
        <f t="shared" si="35"/>
        <v>14</v>
      </c>
      <c r="AE6" s="914">
        <f t="shared" si="21"/>
        <v>3</v>
      </c>
      <c r="AF6" s="917">
        <f t="shared" si="22"/>
        <v>50</v>
      </c>
      <c r="AG6" s="926">
        <f t="shared" ref="AG6:AJ6" si="36">ROUND((AG$12*POWER(0.99,14*(10-$A6))/2)+AG$12/2,0)</f>
        <v>6</v>
      </c>
      <c r="AH6" s="926">
        <f t="shared" si="36"/>
        <v>6</v>
      </c>
      <c r="AI6" s="926">
        <f t="shared" si="36"/>
        <v>14</v>
      </c>
      <c r="AJ6" s="926">
        <f t="shared" si="36"/>
        <v>14</v>
      </c>
      <c r="AK6" s="932">
        <f t="shared" si="24"/>
        <v>4</v>
      </c>
    </row>
    <row r="7" ht="19.5" customHeight="1">
      <c r="A7" s="808">
        <v>5.0</v>
      </c>
      <c r="B7" s="828">
        <f t="shared" si="7"/>
        <v>60</v>
      </c>
      <c r="C7" s="841">
        <f t="shared" ref="C7:F7" si="37">ROUND((C$12*POWER(0.99,14*(10-$A7))/2)+C$12/2,0)</f>
        <v>4</v>
      </c>
      <c r="D7" s="841">
        <f t="shared" si="37"/>
        <v>4</v>
      </c>
      <c r="E7" s="841">
        <f t="shared" si="37"/>
        <v>16</v>
      </c>
      <c r="F7" s="841">
        <f t="shared" si="37"/>
        <v>16</v>
      </c>
      <c r="G7" s="844">
        <f t="shared" si="9"/>
        <v>3</v>
      </c>
      <c r="H7" s="851">
        <f t="shared" si="10"/>
        <v>60</v>
      </c>
      <c r="I7" s="858">
        <f t="shared" ref="I7:L7" si="38">ROUND((I$12*POWER(0.99,14*(10-$A7))/2)+I$12/2,0)</f>
        <v>5</v>
      </c>
      <c r="J7" s="858">
        <f t="shared" si="38"/>
        <v>5</v>
      </c>
      <c r="K7" s="858">
        <f t="shared" si="38"/>
        <v>16</v>
      </c>
      <c r="L7" s="858">
        <f t="shared" si="38"/>
        <v>16</v>
      </c>
      <c r="M7" s="871">
        <f t="shared" si="12"/>
        <v>3</v>
      </c>
      <c r="N7" s="877">
        <f t="shared" si="13"/>
        <v>65</v>
      </c>
      <c r="O7" s="882">
        <f t="shared" ref="O7:R7" si="39">ROUND((O$12*POWER(0.99,14*(10-$A7))/2)+O$12/2,0)</f>
        <v>4</v>
      </c>
      <c r="P7" s="882">
        <f t="shared" si="39"/>
        <v>4</v>
      </c>
      <c r="Q7" s="882">
        <f t="shared" si="39"/>
        <v>22</v>
      </c>
      <c r="R7" s="882">
        <f t="shared" si="39"/>
        <v>22</v>
      </c>
      <c r="S7" s="886">
        <f t="shared" si="15"/>
        <v>3</v>
      </c>
      <c r="T7" s="889">
        <f t="shared" si="16"/>
        <v>50</v>
      </c>
      <c r="U7" s="896">
        <f t="shared" ref="U7:X7" si="40">ROUND((U$12*POWER(0.99,14*(10-$A7))/2)+U$12/2,0)</f>
        <v>8</v>
      </c>
      <c r="V7" s="896">
        <f t="shared" si="40"/>
        <v>8</v>
      </c>
      <c r="W7" s="896">
        <f t="shared" si="40"/>
        <v>12</v>
      </c>
      <c r="X7" s="896">
        <f t="shared" si="40"/>
        <v>12</v>
      </c>
      <c r="Y7" s="903">
        <f t="shared" si="18"/>
        <v>3</v>
      </c>
      <c r="Z7" s="909">
        <f t="shared" si="19"/>
        <v>45</v>
      </c>
      <c r="AA7" s="911">
        <f t="shared" ref="AA7:AD7" si="41">ROUND((AA$12*POWER(0.99,14*(10-$A7))/2)+AA$12/2,0)</f>
        <v>7</v>
      </c>
      <c r="AB7" s="911">
        <f t="shared" si="41"/>
        <v>7</v>
      </c>
      <c r="AC7" s="911">
        <f t="shared" si="41"/>
        <v>14</v>
      </c>
      <c r="AD7" s="911">
        <f t="shared" si="41"/>
        <v>14</v>
      </c>
      <c r="AE7" s="914">
        <f t="shared" si="21"/>
        <v>3</v>
      </c>
      <c r="AF7" s="917">
        <f t="shared" si="22"/>
        <v>50</v>
      </c>
      <c r="AG7" s="926">
        <f t="shared" ref="AG7:AJ7" si="42">ROUND((AG$12*POWER(0.99,14*(10-$A7))/2)+AG$12/2,0)</f>
        <v>6</v>
      </c>
      <c r="AH7" s="926">
        <f t="shared" si="42"/>
        <v>6</v>
      </c>
      <c r="AI7" s="926">
        <f t="shared" si="42"/>
        <v>15</v>
      </c>
      <c r="AJ7" s="926">
        <f t="shared" si="42"/>
        <v>15</v>
      </c>
      <c r="AK7" s="932">
        <f t="shared" si="24"/>
        <v>4</v>
      </c>
    </row>
    <row r="8" ht="19.5" customHeight="1">
      <c r="A8" s="808">
        <v>6.0</v>
      </c>
      <c r="B8" s="828">
        <f t="shared" si="7"/>
        <v>65</v>
      </c>
      <c r="C8" s="841">
        <f t="shared" ref="C8:F8" si="43">ROUND((C$12*POWER(0.99,14*(10-$A8))/2)+C$12/2,0)</f>
        <v>5</v>
      </c>
      <c r="D8" s="841">
        <f t="shared" si="43"/>
        <v>5</v>
      </c>
      <c r="E8" s="841">
        <f t="shared" si="43"/>
        <v>17</v>
      </c>
      <c r="F8" s="841">
        <f t="shared" si="43"/>
        <v>17</v>
      </c>
      <c r="G8" s="844">
        <f t="shared" si="9"/>
        <v>3</v>
      </c>
      <c r="H8" s="851">
        <f t="shared" si="10"/>
        <v>60</v>
      </c>
      <c r="I8" s="858">
        <f t="shared" ref="I8:L8" si="44">ROUND((I$12*POWER(0.99,14*(10-$A8))/2)+I$12/2,0)</f>
        <v>5</v>
      </c>
      <c r="J8" s="858">
        <f t="shared" si="44"/>
        <v>5</v>
      </c>
      <c r="K8" s="858">
        <f t="shared" si="44"/>
        <v>16</v>
      </c>
      <c r="L8" s="858">
        <f t="shared" si="44"/>
        <v>16</v>
      </c>
      <c r="M8" s="871">
        <f t="shared" si="12"/>
        <v>3</v>
      </c>
      <c r="N8" s="877">
        <f t="shared" si="13"/>
        <v>70</v>
      </c>
      <c r="O8" s="882">
        <f t="shared" ref="O8:R8" si="45">ROUND((O$12*POWER(0.99,14*(10-$A8))/2)+O$12/2,0)</f>
        <v>4</v>
      </c>
      <c r="P8" s="882">
        <f t="shared" si="45"/>
        <v>4</v>
      </c>
      <c r="Q8" s="882">
        <f t="shared" si="45"/>
        <v>24</v>
      </c>
      <c r="R8" s="882">
        <f t="shared" si="45"/>
        <v>24</v>
      </c>
      <c r="S8" s="886">
        <f t="shared" si="15"/>
        <v>3</v>
      </c>
      <c r="T8" s="889">
        <f t="shared" si="16"/>
        <v>55</v>
      </c>
      <c r="U8" s="896">
        <f t="shared" ref="U8:X8" si="46">ROUND((U$12*POWER(0.99,14*(10-$A8))/2)+U$12/2,0)</f>
        <v>9</v>
      </c>
      <c r="V8" s="896">
        <f t="shared" si="46"/>
        <v>9</v>
      </c>
      <c r="W8" s="896">
        <f t="shared" si="46"/>
        <v>13</v>
      </c>
      <c r="X8" s="896">
        <f t="shared" si="46"/>
        <v>13</v>
      </c>
      <c r="Y8" s="903">
        <f t="shared" si="18"/>
        <v>3</v>
      </c>
      <c r="Z8" s="909">
        <f t="shared" si="19"/>
        <v>50</v>
      </c>
      <c r="AA8" s="911">
        <f t="shared" ref="AA8:AD8" si="47">ROUND((AA$12*POWER(0.99,14*(10-$A8))/2)+AA$12/2,0)</f>
        <v>7</v>
      </c>
      <c r="AB8" s="911">
        <f t="shared" si="47"/>
        <v>7</v>
      </c>
      <c r="AC8" s="911">
        <f t="shared" si="47"/>
        <v>15</v>
      </c>
      <c r="AD8" s="911">
        <f t="shared" si="47"/>
        <v>15</v>
      </c>
      <c r="AE8" s="914">
        <f t="shared" si="21"/>
        <v>3</v>
      </c>
      <c r="AF8" s="917">
        <f t="shared" si="22"/>
        <v>55</v>
      </c>
      <c r="AG8" s="926">
        <f t="shared" ref="AG8:AJ8" si="48">ROUND((AG$12*POWER(0.99,14*(10-$A8))/2)+AG$12/2,0)</f>
        <v>6</v>
      </c>
      <c r="AH8" s="926">
        <f t="shared" si="48"/>
        <v>6</v>
      </c>
      <c r="AI8" s="926">
        <f t="shared" si="48"/>
        <v>16</v>
      </c>
      <c r="AJ8" s="926">
        <f t="shared" si="48"/>
        <v>16</v>
      </c>
      <c r="AK8" s="932">
        <f t="shared" si="24"/>
        <v>4</v>
      </c>
    </row>
    <row r="9" ht="19.5" customHeight="1">
      <c r="A9" s="808">
        <v>7.0</v>
      </c>
      <c r="B9" s="828">
        <f t="shared" si="7"/>
        <v>70</v>
      </c>
      <c r="C9" s="841">
        <f t="shared" ref="C9:F9" si="49">ROUND((C$12*POWER(0.99,14*(10-$A9))/2)+C$12/2,0)</f>
        <v>5</v>
      </c>
      <c r="D9" s="841">
        <f t="shared" si="49"/>
        <v>5</v>
      </c>
      <c r="E9" s="841">
        <f t="shared" si="49"/>
        <v>18</v>
      </c>
      <c r="F9" s="841">
        <f t="shared" si="49"/>
        <v>18</v>
      </c>
      <c r="G9" s="844">
        <f t="shared" si="9"/>
        <v>3</v>
      </c>
      <c r="H9" s="851">
        <f t="shared" si="10"/>
        <v>65</v>
      </c>
      <c r="I9" s="858">
        <f t="shared" ref="I9:L9" si="50">ROUND((I$12*POWER(0.99,14*(10-$A9))/2)+I$12/2,0)</f>
        <v>6</v>
      </c>
      <c r="J9" s="858">
        <f t="shared" si="50"/>
        <v>6</v>
      </c>
      <c r="K9" s="858">
        <f t="shared" si="50"/>
        <v>17</v>
      </c>
      <c r="L9" s="858">
        <f t="shared" si="50"/>
        <v>17</v>
      </c>
      <c r="M9" s="871">
        <f t="shared" si="12"/>
        <v>3</v>
      </c>
      <c r="N9" s="877">
        <f t="shared" si="13"/>
        <v>75</v>
      </c>
      <c r="O9" s="882">
        <f t="shared" ref="O9:R9" si="51">ROUND((O$12*POWER(0.99,14*(10-$A9))/2)+O$12/2,0)</f>
        <v>4</v>
      </c>
      <c r="P9" s="882">
        <f t="shared" si="51"/>
        <v>4</v>
      </c>
      <c r="Q9" s="882">
        <f t="shared" si="51"/>
        <v>25</v>
      </c>
      <c r="R9" s="882">
        <f t="shared" si="51"/>
        <v>25</v>
      </c>
      <c r="S9" s="886">
        <v>3.0</v>
      </c>
      <c r="T9" s="889">
        <f t="shared" si="16"/>
        <v>55</v>
      </c>
      <c r="U9" s="896">
        <f t="shared" ref="U9:X9" si="52">ROUND((U$12*POWER(0.99,14*(10-$A9))/2)+U$12/2,0)</f>
        <v>9</v>
      </c>
      <c r="V9" s="896">
        <f t="shared" si="52"/>
        <v>9</v>
      </c>
      <c r="W9" s="896">
        <f t="shared" si="52"/>
        <v>13</v>
      </c>
      <c r="X9" s="896">
        <f t="shared" si="52"/>
        <v>13</v>
      </c>
      <c r="Y9" s="903">
        <f t="shared" si="18"/>
        <v>3</v>
      </c>
      <c r="Z9" s="909">
        <f t="shared" si="19"/>
        <v>50</v>
      </c>
      <c r="AA9" s="911">
        <f t="shared" ref="AA9:AD9" si="53">ROUND((AA$12*POWER(0.99,14*(10-$A9))/2)+AA$12/2,0)</f>
        <v>7</v>
      </c>
      <c r="AB9" s="911">
        <f t="shared" si="53"/>
        <v>7</v>
      </c>
      <c r="AC9" s="911">
        <f t="shared" si="53"/>
        <v>16</v>
      </c>
      <c r="AD9" s="911">
        <f t="shared" si="53"/>
        <v>16</v>
      </c>
      <c r="AE9" s="914">
        <f t="shared" si="21"/>
        <v>3</v>
      </c>
      <c r="AF9" s="917">
        <f t="shared" si="22"/>
        <v>55</v>
      </c>
      <c r="AG9" s="926">
        <f t="shared" ref="AG9:AJ9" si="54">ROUND((AG$12*POWER(0.99,14*(10-$A9))/2)+AG$12/2,0)</f>
        <v>7</v>
      </c>
      <c r="AH9" s="926">
        <f t="shared" si="54"/>
        <v>7</v>
      </c>
      <c r="AI9" s="926">
        <f t="shared" si="54"/>
        <v>17</v>
      </c>
      <c r="AJ9" s="926">
        <f t="shared" si="54"/>
        <v>17</v>
      </c>
      <c r="AK9" s="932">
        <f t="shared" si="24"/>
        <v>4</v>
      </c>
    </row>
    <row r="10" ht="19.5" customHeight="1">
      <c r="A10" s="808">
        <v>8.0</v>
      </c>
      <c r="B10" s="828">
        <f t="shared" si="7"/>
        <v>75</v>
      </c>
      <c r="C10" s="841">
        <f t="shared" ref="C10:F10" si="55">ROUND((C$12*POWER(0.99,14*(10-$A10))/2)+C$12/2,0)</f>
        <v>5</v>
      </c>
      <c r="D10" s="841">
        <f t="shared" si="55"/>
        <v>5</v>
      </c>
      <c r="E10" s="841">
        <f t="shared" si="55"/>
        <v>19</v>
      </c>
      <c r="F10" s="841">
        <f t="shared" si="55"/>
        <v>19</v>
      </c>
      <c r="G10" s="844">
        <f t="shared" si="9"/>
        <v>3</v>
      </c>
      <c r="H10" s="851">
        <f t="shared" si="10"/>
        <v>70</v>
      </c>
      <c r="I10" s="858">
        <f t="shared" ref="I10:L10" si="56">ROUND((I$12*POWER(0.99,14*(10-$A10))/2)+I$12/2,0)</f>
        <v>6</v>
      </c>
      <c r="J10" s="858">
        <f t="shared" si="56"/>
        <v>6</v>
      </c>
      <c r="K10" s="858">
        <f t="shared" si="56"/>
        <v>18</v>
      </c>
      <c r="L10" s="858">
        <f t="shared" si="56"/>
        <v>18</v>
      </c>
      <c r="M10" s="871">
        <f t="shared" si="12"/>
        <v>3</v>
      </c>
      <c r="N10" s="877">
        <f t="shared" si="13"/>
        <v>75</v>
      </c>
      <c r="O10" s="882">
        <f t="shared" ref="O10:R10" si="57">ROUND((O$12*POWER(0.99,14*(10-$A10))/2)+O$12/2,0)</f>
        <v>4</v>
      </c>
      <c r="P10" s="882">
        <f t="shared" si="57"/>
        <v>4</v>
      </c>
      <c r="Q10" s="882">
        <f t="shared" si="57"/>
        <v>26</v>
      </c>
      <c r="R10" s="882">
        <f t="shared" si="57"/>
        <v>26</v>
      </c>
      <c r="S10" s="886">
        <v>3.0</v>
      </c>
      <c r="T10" s="889">
        <f t="shared" si="16"/>
        <v>60</v>
      </c>
      <c r="U10" s="896">
        <f t="shared" ref="U10:X10" si="58">ROUND((U$12*POWER(0.99,14*(10-$A10))/2)+U$12/2,0)</f>
        <v>10</v>
      </c>
      <c r="V10" s="896">
        <f t="shared" si="58"/>
        <v>10</v>
      </c>
      <c r="W10" s="896">
        <f t="shared" si="58"/>
        <v>14</v>
      </c>
      <c r="X10" s="896">
        <f t="shared" si="58"/>
        <v>14</v>
      </c>
      <c r="Y10" s="903">
        <f t="shared" si="18"/>
        <v>3</v>
      </c>
      <c r="Z10" s="909">
        <f t="shared" si="19"/>
        <v>55</v>
      </c>
      <c r="AA10" s="911">
        <f t="shared" ref="AA10:AD10" si="59">ROUND((AA$12*POWER(0.99,14*(10-$A10))/2)+AA$12/2,0)</f>
        <v>8</v>
      </c>
      <c r="AB10" s="911">
        <f t="shared" si="59"/>
        <v>8</v>
      </c>
      <c r="AC10" s="911">
        <f t="shared" si="59"/>
        <v>17</v>
      </c>
      <c r="AD10" s="911">
        <f t="shared" si="59"/>
        <v>17</v>
      </c>
      <c r="AE10" s="914">
        <f t="shared" si="21"/>
        <v>3</v>
      </c>
      <c r="AF10" s="917">
        <f t="shared" si="22"/>
        <v>60</v>
      </c>
      <c r="AG10" s="926">
        <f t="shared" ref="AG10:AJ10" si="60">ROUND((AG$12*POWER(0.99,14*(10-$A10))/2)+AG$12/2,0)</f>
        <v>7</v>
      </c>
      <c r="AH10" s="926">
        <f t="shared" si="60"/>
        <v>7</v>
      </c>
      <c r="AI10" s="926">
        <f t="shared" si="60"/>
        <v>18</v>
      </c>
      <c r="AJ10" s="926">
        <f t="shared" si="60"/>
        <v>18</v>
      </c>
      <c r="AK10" s="932">
        <f t="shared" si="24"/>
        <v>4</v>
      </c>
    </row>
    <row r="11" ht="19.5" customHeight="1">
      <c r="A11" s="808">
        <v>9.0</v>
      </c>
      <c r="B11" s="828">
        <f t="shared" si="7"/>
        <v>75</v>
      </c>
      <c r="C11" s="841">
        <f t="shared" ref="C11:F11" si="61">ROUND((C$12*POWER(0.99,14*(10-$A11))/2)+C$12/2,0)</f>
        <v>6</v>
      </c>
      <c r="D11" s="841">
        <f t="shared" si="61"/>
        <v>6</v>
      </c>
      <c r="E11" s="841">
        <f t="shared" si="61"/>
        <v>21</v>
      </c>
      <c r="F11" s="841">
        <f t="shared" si="61"/>
        <v>21</v>
      </c>
      <c r="G11" s="844">
        <f t="shared" si="9"/>
        <v>3</v>
      </c>
      <c r="H11" s="851">
        <f t="shared" si="10"/>
        <v>75</v>
      </c>
      <c r="I11" s="858">
        <f t="shared" ref="I11:L11" si="62">ROUND((I$12*POWER(0.99,14*(10-$A11))/2)+I$12/2,0)</f>
        <v>7</v>
      </c>
      <c r="J11" s="858">
        <f t="shared" si="62"/>
        <v>7</v>
      </c>
      <c r="K11" s="858">
        <f t="shared" si="62"/>
        <v>20</v>
      </c>
      <c r="L11" s="858">
        <f t="shared" si="62"/>
        <v>20</v>
      </c>
      <c r="M11" s="871">
        <f t="shared" si="12"/>
        <v>3</v>
      </c>
      <c r="N11" s="877">
        <f t="shared" si="13"/>
        <v>80</v>
      </c>
      <c r="O11" s="882">
        <f t="shared" ref="O11:R11" si="63">ROUND((O$12*POWER(0.99,14*(10-$A11))/2)+O$12/2,0)</f>
        <v>5</v>
      </c>
      <c r="P11" s="882">
        <f t="shared" si="63"/>
        <v>5</v>
      </c>
      <c r="Q11" s="882">
        <f t="shared" si="63"/>
        <v>28</v>
      </c>
      <c r="R11" s="882">
        <f t="shared" si="63"/>
        <v>28</v>
      </c>
      <c r="S11" s="886">
        <v>3.0</v>
      </c>
      <c r="T11" s="889">
        <f t="shared" si="16"/>
        <v>65</v>
      </c>
      <c r="U11" s="896">
        <f t="shared" ref="U11:X11" si="64">ROUND((U$12*POWER(0.99,14*(10-$A11))/2)+U$12/2,0)</f>
        <v>10</v>
      </c>
      <c r="V11" s="896">
        <f t="shared" si="64"/>
        <v>10</v>
      </c>
      <c r="W11" s="896">
        <f t="shared" si="64"/>
        <v>15</v>
      </c>
      <c r="X11" s="896">
        <f t="shared" si="64"/>
        <v>15</v>
      </c>
      <c r="Y11" s="903">
        <f t="shared" si="18"/>
        <v>3</v>
      </c>
      <c r="Z11" s="909">
        <f t="shared" si="19"/>
        <v>60</v>
      </c>
      <c r="AA11" s="911">
        <f t="shared" ref="AA11:AD11" si="65">ROUND((AA$12*POWER(0.99,14*(10-$A11))/2)+AA$12/2,0)</f>
        <v>8</v>
      </c>
      <c r="AB11" s="911">
        <f t="shared" si="65"/>
        <v>8</v>
      </c>
      <c r="AC11" s="911">
        <f t="shared" si="65"/>
        <v>18</v>
      </c>
      <c r="AD11" s="911">
        <f t="shared" si="65"/>
        <v>18</v>
      </c>
      <c r="AE11" s="914">
        <f t="shared" si="21"/>
        <v>3</v>
      </c>
      <c r="AF11" s="917">
        <f t="shared" si="22"/>
        <v>65</v>
      </c>
      <c r="AG11" s="926">
        <f t="shared" ref="AG11:AJ11" si="66">ROUND((AG$12*POWER(0.99,14*(10-$A11))/2)+AG$12/2,0)</f>
        <v>7</v>
      </c>
      <c r="AH11" s="926">
        <f t="shared" si="66"/>
        <v>7</v>
      </c>
      <c r="AI11" s="926">
        <f t="shared" si="66"/>
        <v>19</v>
      </c>
      <c r="AJ11" s="926">
        <f t="shared" si="66"/>
        <v>19</v>
      </c>
      <c r="AK11" s="932">
        <f t="shared" si="24"/>
        <v>4</v>
      </c>
    </row>
    <row r="12" ht="19.5" customHeight="1">
      <c r="A12" s="980">
        <v>10.0</v>
      </c>
      <c r="B12" s="981">
        <v>80.0</v>
      </c>
      <c r="C12" s="982">
        <v>6.0</v>
      </c>
      <c r="D12" s="982">
        <v>6.0</v>
      </c>
      <c r="E12" s="982">
        <v>22.0</v>
      </c>
      <c r="F12" s="982">
        <v>22.0</v>
      </c>
      <c r="G12" s="983">
        <v>3.0</v>
      </c>
      <c r="H12" s="984">
        <v>75.0</v>
      </c>
      <c r="I12" s="985">
        <v>7.0</v>
      </c>
      <c r="J12" s="985">
        <v>7.0</v>
      </c>
      <c r="K12" s="985">
        <v>21.0</v>
      </c>
      <c r="L12" s="985">
        <v>21.0</v>
      </c>
      <c r="M12" s="986">
        <v>3.0</v>
      </c>
      <c r="N12" s="987">
        <v>85.0</v>
      </c>
      <c r="O12" s="988">
        <v>5.0</v>
      </c>
      <c r="P12" s="988">
        <v>5.0</v>
      </c>
      <c r="Q12" s="988">
        <v>30.0</v>
      </c>
      <c r="R12" s="988">
        <v>30.0</v>
      </c>
      <c r="S12" s="989">
        <v>3.0</v>
      </c>
      <c r="T12" s="990">
        <v>65.0</v>
      </c>
      <c r="U12" s="991">
        <v>11.0</v>
      </c>
      <c r="V12" s="991">
        <v>11.0</v>
      </c>
      <c r="W12" s="991">
        <v>16.0</v>
      </c>
      <c r="X12" s="991">
        <v>16.0</v>
      </c>
      <c r="Y12" s="992">
        <v>3.0</v>
      </c>
      <c r="Z12" s="993">
        <v>60.0</v>
      </c>
      <c r="AA12" s="994">
        <v>9.0</v>
      </c>
      <c r="AB12" s="994">
        <v>9.0</v>
      </c>
      <c r="AC12" s="994">
        <v>19.0</v>
      </c>
      <c r="AD12" s="994">
        <v>19.0</v>
      </c>
      <c r="AE12" s="995">
        <v>3.0</v>
      </c>
      <c r="AF12" s="996">
        <v>65.0</v>
      </c>
      <c r="AG12" s="997">
        <v>8.0</v>
      </c>
      <c r="AH12" s="997">
        <v>8.0</v>
      </c>
      <c r="AI12" s="997">
        <v>20.0</v>
      </c>
      <c r="AJ12" s="997">
        <v>20.0</v>
      </c>
      <c r="AK12" s="998">
        <v>4.0</v>
      </c>
    </row>
    <row r="13" ht="28.5" customHeight="1">
      <c r="A13" s="999" t="s">
        <v>1503</v>
      </c>
      <c r="B13" s="1000" t="s">
        <v>114</v>
      </c>
      <c r="C13" s="777"/>
      <c r="D13" s="777"/>
      <c r="E13" s="777"/>
      <c r="F13" s="777"/>
      <c r="G13" s="781"/>
      <c r="H13" s="1001" t="s">
        <v>108</v>
      </c>
      <c r="I13" s="777"/>
      <c r="J13" s="777"/>
      <c r="K13" s="777"/>
      <c r="L13" s="777"/>
      <c r="M13" s="781"/>
      <c r="N13" s="1002" t="s">
        <v>118</v>
      </c>
      <c r="O13" s="777"/>
      <c r="P13" s="777"/>
      <c r="Q13" s="777"/>
      <c r="R13" s="777"/>
      <c r="S13" s="781"/>
      <c r="T13" s="1003" t="s">
        <v>622</v>
      </c>
      <c r="U13" s="777"/>
      <c r="V13" s="777"/>
      <c r="W13" s="777"/>
      <c r="X13" s="777"/>
      <c r="Y13" s="781"/>
      <c r="Z13" s="1004" t="s">
        <v>720</v>
      </c>
      <c r="AA13" s="777"/>
      <c r="AB13" s="777"/>
      <c r="AC13" s="777"/>
      <c r="AD13" s="777"/>
      <c r="AE13" s="781"/>
      <c r="AF13" s="1005" t="s">
        <v>823</v>
      </c>
      <c r="AG13" s="777"/>
      <c r="AH13" s="777"/>
      <c r="AI13" s="777"/>
      <c r="AJ13" s="777"/>
      <c r="AK13" s="781"/>
    </row>
    <row r="14" ht="19.5" customHeight="1">
      <c r="A14" s="1006">
        <v>1.0</v>
      </c>
      <c r="B14" s="1007">
        <f t="shared" ref="B14:B22" si="73">ROUNDUP(((B$23*POWER(0.99,14*(10-$A25))/2)+B$23/2)/5,0)*5</f>
        <v>45</v>
      </c>
      <c r="C14" s="1008">
        <f t="shared" ref="C14:F14" si="67">ROUND((C$23*POWER(0.99,14*(10-$A25))/2)+C$23/2,0)</f>
        <v>7</v>
      </c>
      <c r="D14" s="1008">
        <f t="shared" si="67"/>
        <v>4</v>
      </c>
      <c r="E14" s="1008">
        <f t="shared" si="67"/>
        <v>8</v>
      </c>
      <c r="F14" s="1008">
        <f t="shared" si="67"/>
        <v>9</v>
      </c>
      <c r="G14" s="1009">
        <f t="shared" ref="G14:G22" si="75">G$23</f>
        <v>1</v>
      </c>
      <c r="H14" s="1010">
        <f t="shared" ref="H14:H22" si="76">ROUNDUP(((H$23*POWER(0.99,14*(10-$A25))/2)+H$23/2)/5,0)*5</f>
        <v>45</v>
      </c>
      <c r="I14" s="1011">
        <f t="shared" ref="I14:L14" si="68">ROUND((I$23*POWER(0.99,14*(10-$A25))/2)+I$23/2,0)</f>
        <v>8</v>
      </c>
      <c r="J14" s="1011">
        <f t="shared" si="68"/>
        <v>1</v>
      </c>
      <c r="K14" s="1011">
        <f t="shared" si="68"/>
        <v>4</v>
      </c>
      <c r="L14" s="1011">
        <f t="shared" si="68"/>
        <v>4</v>
      </c>
      <c r="M14" s="1012">
        <f t="shared" ref="M14:M22" si="78">M$23</f>
        <v>1</v>
      </c>
      <c r="N14" s="877">
        <f t="shared" ref="N14:N22" si="79">ROUNDUP(((N$23*POWER(0.99,14*(10-$A25))/2)+N$23/2)/5,0)*5</f>
        <v>40</v>
      </c>
      <c r="O14" s="882">
        <f t="shared" ref="O14:R14" si="69">ROUND((O$23*POWER(0.99,14*(10-$A25))/2)+O$23/2,0)</f>
        <v>6</v>
      </c>
      <c r="P14" s="882">
        <f t="shared" si="69"/>
        <v>3</v>
      </c>
      <c r="Q14" s="882">
        <f t="shared" si="69"/>
        <v>6</v>
      </c>
      <c r="R14" s="882">
        <f t="shared" si="69"/>
        <v>6</v>
      </c>
      <c r="S14" s="886">
        <f t="shared" ref="S14:S22" si="81">S$23</f>
        <v>3</v>
      </c>
      <c r="T14" s="1013">
        <f t="shared" ref="T14:T22" si="82">ROUNDUP(((T$23*POWER(0.99,14*(10-$A58))/2)+T$23/2)/5,0)*5</f>
        <v>45</v>
      </c>
      <c r="U14" s="1014">
        <f t="shared" ref="U14:X14" si="70">ROUND((U$23*POWER(0.99,14*(10-$A58))/2)+U$23/2,0)</f>
        <v>1</v>
      </c>
      <c r="V14" s="1014">
        <f t="shared" si="70"/>
        <v>8</v>
      </c>
      <c r="W14" s="1014">
        <f t="shared" si="70"/>
        <v>4</v>
      </c>
      <c r="X14" s="1014">
        <f t="shared" si="70"/>
        <v>6</v>
      </c>
      <c r="Y14" s="1015">
        <f t="shared" ref="Y14:Y22" si="84">Y$23</f>
        <v>2</v>
      </c>
      <c r="Z14" s="1016">
        <f t="shared" ref="Z14:Z22" si="85">ROUNDUP(((Z$23*POWER(0.99,14*(10-$A58))/2)+Z$23/2)/5,0)*5</f>
        <v>40</v>
      </c>
      <c r="AA14" s="1017">
        <f t="shared" ref="AA14:AD14" si="71">ROUND((AA$23*POWER(0.99,14*(10-$A58))/2)+AA$23/2,0)</f>
        <v>1</v>
      </c>
      <c r="AB14" s="1017">
        <f t="shared" si="71"/>
        <v>9</v>
      </c>
      <c r="AC14" s="1017">
        <f t="shared" si="71"/>
        <v>6</v>
      </c>
      <c r="AD14" s="1017">
        <f t="shared" si="71"/>
        <v>6</v>
      </c>
      <c r="AE14" s="1018">
        <f t="shared" ref="AE14:AE22" si="87">AE$23</f>
        <v>1</v>
      </c>
      <c r="AF14" s="1019">
        <f t="shared" ref="AF14:AF22" si="88">ROUNDUP(((AF$23*POWER(0.99,14*(10-$A58))/2)+AF$23/2)/5,0)*5</f>
        <v>45</v>
      </c>
      <c r="AG14" s="1020">
        <f t="shared" ref="AG14:AJ14" si="72">ROUND((AG$23*POWER(0.99,14*(10-$A58))/2)+AG$23/2,0)</f>
        <v>0</v>
      </c>
      <c r="AH14" s="1020">
        <f t="shared" si="72"/>
        <v>7</v>
      </c>
      <c r="AI14" s="1020">
        <f t="shared" si="72"/>
        <v>8</v>
      </c>
      <c r="AJ14" s="1020">
        <f t="shared" si="72"/>
        <v>8</v>
      </c>
      <c r="AK14" s="1021">
        <f t="shared" ref="AK14:AK22" si="90">AK$23</f>
        <v>2</v>
      </c>
    </row>
    <row r="15" ht="19.5" customHeight="1">
      <c r="A15" s="1006">
        <v>2.0</v>
      </c>
      <c r="B15" s="1007">
        <f t="shared" si="73"/>
        <v>45</v>
      </c>
      <c r="C15" s="1008">
        <f t="shared" ref="C15:F15" si="74">ROUND((C$23*POWER(0.99,14*(10-$A26))/2)+C$23/2,0)</f>
        <v>7</v>
      </c>
      <c r="D15" s="1008">
        <f t="shared" si="74"/>
        <v>5</v>
      </c>
      <c r="E15" s="1008">
        <f t="shared" si="74"/>
        <v>9</v>
      </c>
      <c r="F15" s="1008">
        <f t="shared" si="74"/>
        <v>9</v>
      </c>
      <c r="G15" s="1009">
        <f t="shared" si="75"/>
        <v>1</v>
      </c>
      <c r="H15" s="1010">
        <f t="shared" si="76"/>
        <v>45</v>
      </c>
      <c r="I15" s="1011">
        <f t="shared" ref="I15:L15" si="77">ROUND((I$23*POWER(0.99,14*(10-$A26))/2)+I$23/2,0)</f>
        <v>8</v>
      </c>
      <c r="J15" s="1011">
        <f t="shared" si="77"/>
        <v>1</v>
      </c>
      <c r="K15" s="1011">
        <f t="shared" si="77"/>
        <v>4</v>
      </c>
      <c r="L15" s="1011">
        <f t="shared" si="77"/>
        <v>4</v>
      </c>
      <c r="M15" s="1012">
        <f t="shared" si="78"/>
        <v>1</v>
      </c>
      <c r="N15" s="877">
        <f t="shared" si="79"/>
        <v>40</v>
      </c>
      <c r="O15" s="882">
        <f t="shared" ref="O15:R15" si="80">ROUND((O$23*POWER(0.99,14*(10-$A26))/2)+O$23/2,0)</f>
        <v>7</v>
      </c>
      <c r="P15" s="882">
        <f t="shared" si="80"/>
        <v>3</v>
      </c>
      <c r="Q15" s="882">
        <f t="shared" si="80"/>
        <v>6</v>
      </c>
      <c r="R15" s="882">
        <f t="shared" si="80"/>
        <v>6</v>
      </c>
      <c r="S15" s="886">
        <f t="shared" si="81"/>
        <v>3</v>
      </c>
      <c r="T15" s="1013">
        <f t="shared" si="82"/>
        <v>50</v>
      </c>
      <c r="U15" s="1014">
        <f t="shared" ref="U15:X15" si="83">ROUND((U$23*POWER(0.99,14*(10-$A59))/2)+U$23/2,0)</f>
        <v>1</v>
      </c>
      <c r="V15" s="1014">
        <f t="shared" si="83"/>
        <v>9</v>
      </c>
      <c r="W15" s="1014">
        <f t="shared" si="83"/>
        <v>4</v>
      </c>
      <c r="X15" s="1014">
        <f t="shared" si="83"/>
        <v>7</v>
      </c>
      <c r="Y15" s="1015">
        <f t="shared" si="84"/>
        <v>2</v>
      </c>
      <c r="Z15" s="1016">
        <f t="shared" si="85"/>
        <v>40</v>
      </c>
      <c r="AA15" s="1017">
        <f t="shared" ref="AA15:AD15" si="86">ROUND((AA$23*POWER(0.99,14*(10-$A59))/2)+AA$23/2,0)</f>
        <v>1</v>
      </c>
      <c r="AB15" s="1017">
        <f t="shared" si="86"/>
        <v>9</v>
      </c>
      <c r="AC15" s="1017">
        <f t="shared" si="86"/>
        <v>6</v>
      </c>
      <c r="AD15" s="1017">
        <f t="shared" si="86"/>
        <v>6</v>
      </c>
      <c r="AE15" s="1018">
        <f t="shared" si="87"/>
        <v>1</v>
      </c>
      <c r="AF15" s="1019">
        <f t="shared" si="88"/>
        <v>45</v>
      </c>
      <c r="AG15" s="1020">
        <f t="shared" ref="AG15:AJ15" si="89">ROUND((AG$23*POWER(0.99,14*(10-$A59))/2)+AG$23/2,0)</f>
        <v>0</v>
      </c>
      <c r="AH15" s="1020">
        <f t="shared" si="89"/>
        <v>7</v>
      </c>
      <c r="AI15" s="1020">
        <f t="shared" si="89"/>
        <v>8</v>
      </c>
      <c r="AJ15" s="1020">
        <f t="shared" si="89"/>
        <v>8</v>
      </c>
      <c r="AK15" s="1021">
        <f t="shared" si="90"/>
        <v>2</v>
      </c>
    </row>
    <row r="16" ht="19.5" customHeight="1">
      <c r="A16" s="1006">
        <v>3.0</v>
      </c>
      <c r="B16" s="1007">
        <f t="shared" si="73"/>
        <v>45</v>
      </c>
      <c r="C16" s="1008">
        <f t="shared" ref="C16:F16" si="91">ROUND((C$23*POWER(0.99,14*(10-$A27))/2)+C$23/2,0)</f>
        <v>8</v>
      </c>
      <c r="D16" s="1008">
        <f t="shared" si="91"/>
        <v>5</v>
      </c>
      <c r="E16" s="1008">
        <f t="shared" si="91"/>
        <v>9</v>
      </c>
      <c r="F16" s="1008">
        <f t="shared" si="91"/>
        <v>10</v>
      </c>
      <c r="G16" s="1009">
        <f t="shared" si="75"/>
        <v>1</v>
      </c>
      <c r="H16" s="1010">
        <f t="shared" si="76"/>
        <v>45</v>
      </c>
      <c r="I16" s="1011">
        <f t="shared" ref="I16:L16" si="92">ROUND((I$23*POWER(0.99,14*(10-$A27))/2)+I$23/2,0)</f>
        <v>8</v>
      </c>
      <c r="J16" s="1011">
        <f t="shared" si="92"/>
        <v>1</v>
      </c>
      <c r="K16" s="1011">
        <f t="shared" si="92"/>
        <v>4</v>
      </c>
      <c r="L16" s="1011">
        <f t="shared" si="92"/>
        <v>4</v>
      </c>
      <c r="M16" s="1012">
        <f t="shared" si="78"/>
        <v>1</v>
      </c>
      <c r="N16" s="877">
        <f t="shared" si="79"/>
        <v>45</v>
      </c>
      <c r="O16" s="882">
        <f t="shared" ref="O16:R16" si="93">ROUND((O$23*POWER(0.99,14*(10-$A27))/2)+O$23/2,0)</f>
        <v>7</v>
      </c>
      <c r="P16" s="882">
        <f t="shared" si="93"/>
        <v>3</v>
      </c>
      <c r="Q16" s="882">
        <f t="shared" si="93"/>
        <v>6</v>
      </c>
      <c r="R16" s="882">
        <f t="shared" si="93"/>
        <v>6</v>
      </c>
      <c r="S16" s="886">
        <f t="shared" si="81"/>
        <v>3</v>
      </c>
      <c r="T16" s="1013">
        <f t="shared" si="82"/>
        <v>50</v>
      </c>
      <c r="U16" s="1014">
        <f t="shared" ref="U16:X16" si="94">ROUND((U$23*POWER(0.99,14*(10-$A60))/2)+U$23/2,0)</f>
        <v>1</v>
      </c>
      <c r="V16" s="1014">
        <f t="shared" si="94"/>
        <v>9</v>
      </c>
      <c r="W16" s="1014">
        <f t="shared" si="94"/>
        <v>4</v>
      </c>
      <c r="X16" s="1014">
        <f t="shared" si="94"/>
        <v>7</v>
      </c>
      <c r="Y16" s="1015">
        <f t="shared" si="84"/>
        <v>2</v>
      </c>
      <c r="Z16" s="1016">
        <f t="shared" si="85"/>
        <v>45</v>
      </c>
      <c r="AA16" s="1017">
        <f t="shared" ref="AA16:AD16" si="95">ROUND((AA$23*POWER(0.99,14*(10-$A60))/2)+AA$23/2,0)</f>
        <v>1</v>
      </c>
      <c r="AB16" s="1017">
        <f t="shared" si="95"/>
        <v>10</v>
      </c>
      <c r="AC16" s="1017">
        <f t="shared" si="95"/>
        <v>6</v>
      </c>
      <c r="AD16" s="1017">
        <f t="shared" si="95"/>
        <v>6</v>
      </c>
      <c r="AE16" s="1018">
        <f t="shared" si="87"/>
        <v>1</v>
      </c>
      <c r="AF16" s="1019">
        <f t="shared" si="88"/>
        <v>45</v>
      </c>
      <c r="AG16" s="1020">
        <f t="shared" ref="AG16:AJ16" si="96">ROUND((AG$23*POWER(0.99,14*(10-$A60))/2)+AG$23/2,0)</f>
        <v>0</v>
      </c>
      <c r="AH16" s="1020">
        <f t="shared" si="96"/>
        <v>8</v>
      </c>
      <c r="AI16" s="1020">
        <f t="shared" si="96"/>
        <v>8</v>
      </c>
      <c r="AJ16" s="1020">
        <f t="shared" si="96"/>
        <v>8</v>
      </c>
      <c r="AK16" s="1021">
        <f t="shared" si="90"/>
        <v>2</v>
      </c>
    </row>
    <row r="17" ht="19.5" customHeight="1">
      <c r="A17" s="1006">
        <v>4.0</v>
      </c>
      <c r="B17" s="1007">
        <f t="shared" si="73"/>
        <v>50</v>
      </c>
      <c r="C17" s="1008">
        <f t="shared" ref="C17:F17" si="97">ROUND((C$23*POWER(0.99,14*(10-$A28))/2)+C$23/2,0)</f>
        <v>8</v>
      </c>
      <c r="D17" s="1008">
        <f t="shared" si="97"/>
        <v>5</v>
      </c>
      <c r="E17" s="1008">
        <f t="shared" si="97"/>
        <v>9</v>
      </c>
      <c r="F17" s="1008">
        <f t="shared" si="97"/>
        <v>10</v>
      </c>
      <c r="G17" s="1009">
        <f t="shared" si="75"/>
        <v>1</v>
      </c>
      <c r="H17" s="1010">
        <f t="shared" si="76"/>
        <v>50</v>
      </c>
      <c r="I17" s="1011">
        <f t="shared" ref="I17:L17" si="98">ROUND((I$23*POWER(0.99,14*(10-$A28))/2)+I$23/2,0)</f>
        <v>9</v>
      </c>
      <c r="J17" s="1011">
        <f t="shared" si="98"/>
        <v>1</v>
      </c>
      <c r="K17" s="1011">
        <f t="shared" si="98"/>
        <v>4</v>
      </c>
      <c r="L17" s="1011">
        <f t="shared" si="98"/>
        <v>4</v>
      </c>
      <c r="M17" s="1012">
        <f t="shared" si="78"/>
        <v>1</v>
      </c>
      <c r="N17" s="877">
        <f t="shared" si="79"/>
        <v>45</v>
      </c>
      <c r="O17" s="882">
        <f t="shared" ref="O17:R17" si="99">ROUND((O$23*POWER(0.99,14*(10-$A28))/2)+O$23/2,0)</f>
        <v>7</v>
      </c>
      <c r="P17" s="882">
        <f t="shared" si="99"/>
        <v>4</v>
      </c>
      <c r="Q17" s="882">
        <f t="shared" si="99"/>
        <v>6</v>
      </c>
      <c r="R17" s="882">
        <f t="shared" si="99"/>
        <v>6</v>
      </c>
      <c r="S17" s="886">
        <f t="shared" si="81"/>
        <v>3</v>
      </c>
      <c r="T17" s="1013">
        <f t="shared" si="82"/>
        <v>55</v>
      </c>
      <c r="U17" s="1014">
        <f t="shared" ref="U17:X17" si="100">ROUND((U$23*POWER(0.99,14*(10-$A61))/2)+U$23/2,0)</f>
        <v>1</v>
      </c>
      <c r="V17" s="1014">
        <f t="shared" si="100"/>
        <v>9</v>
      </c>
      <c r="W17" s="1014">
        <f t="shared" si="100"/>
        <v>4</v>
      </c>
      <c r="X17" s="1014">
        <f t="shared" si="100"/>
        <v>7</v>
      </c>
      <c r="Y17" s="1015">
        <f t="shared" si="84"/>
        <v>2</v>
      </c>
      <c r="Z17" s="1016">
        <f t="shared" si="85"/>
        <v>45</v>
      </c>
      <c r="AA17" s="1017">
        <f t="shared" ref="AA17:AD17" si="101">ROUND((AA$23*POWER(0.99,14*(10-$A61))/2)+AA$23/2,0)</f>
        <v>1</v>
      </c>
      <c r="AB17" s="1017">
        <f t="shared" si="101"/>
        <v>10</v>
      </c>
      <c r="AC17" s="1017">
        <f t="shared" si="101"/>
        <v>6</v>
      </c>
      <c r="AD17" s="1017">
        <f t="shared" si="101"/>
        <v>6</v>
      </c>
      <c r="AE17" s="1018">
        <f t="shared" si="87"/>
        <v>1</v>
      </c>
      <c r="AF17" s="1019">
        <f t="shared" si="88"/>
        <v>50</v>
      </c>
      <c r="AG17" s="1020">
        <f t="shared" ref="AG17:AJ17" si="102">ROUND((AG$23*POWER(0.99,14*(10-$A61))/2)+AG$23/2,0)</f>
        <v>0</v>
      </c>
      <c r="AH17" s="1020">
        <f t="shared" si="102"/>
        <v>8</v>
      </c>
      <c r="AI17" s="1020">
        <f t="shared" si="102"/>
        <v>9</v>
      </c>
      <c r="AJ17" s="1020">
        <f t="shared" si="102"/>
        <v>9</v>
      </c>
      <c r="AK17" s="1021">
        <f t="shared" si="90"/>
        <v>2</v>
      </c>
    </row>
    <row r="18" ht="19.5" customHeight="1">
      <c r="A18" s="1006">
        <v>5.0</v>
      </c>
      <c r="B18" s="1007">
        <f t="shared" si="73"/>
        <v>50</v>
      </c>
      <c r="C18" s="1008">
        <f t="shared" ref="C18:F18" si="103">ROUND((C$23*POWER(0.99,14*(10-$A29))/2)+C$23/2,0)</f>
        <v>8</v>
      </c>
      <c r="D18" s="1008">
        <f t="shared" si="103"/>
        <v>5</v>
      </c>
      <c r="E18" s="1008">
        <f t="shared" si="103"/>
        <v>10</v>
      </c>
      <c r="F18" s="1008">
        <f t="shared" si="103"/>
        <v>10</v>
      </c>
      <c r="G18" s="1009">
        <f t="shared" si="75"/>
        <v>1</v>
      </c>
      <c r="H18" s="1010">
        <f t="shared" si="76"/>
        <v>50</v>
      </c>
      <c r="I18" s="1011">
        <f t="shared" ref="I18:L18" si="104">ROUND((I$23*POWER(0.99,14*(10-$A29))/2)+I$23/2,0)</f>
        <v>9</v>
      </c>
      <c r="J18" s="1011">
        <f t="shared" si="104"/>
        <v>1</v>
      </c>
      <c r="K18" s="1011">
        <f t="shared" si="104"/>
        <v>4</v>
      </c>
      <c r="L18" s="1011">
        <f t="shared" si="104"/>
        <v>4</v>
      </c>
      <c r="M18" s="1012">
        <f t="shared" si="78"/>
        <v>1</v>
      </c>
      <c r="N18" s="877">
        <f t="shared" si="79"/>
        <v>45</v>
      </c>
      <c r="O18" s="882">
        <f t="shared" ref="O18:R18" si="105">ROUND((O$23*POWER(0.99,14*(10-$A29))/2)+O$23/2,0)</f>
        <v>7</v>
      </c>
      <c r="P18" s="882">
        <f t="shared" si="105"/>
        <v>4</v>
      </c>
      <c r="Q18" s="882">
        <f t="shared" si="105"/>
        <v>7</v>
      </c>
      <c r="R18" s="882">
        <f t="shared" si="105"/>
        <v>7</v>
      </c>
      <c r="S18" s="886">
        <f t="shared" si="81"/>
        <v>3</v>
      </c>
      <c r="T18" s="1013">
        <f t="shared" si="82"/>
        <v>55</v>
      </c>
      <c r="U18" s="1014">
        <f t="shared" ref="U18:X18" si="106">ROUND((U$23*POWER(0.99,14*(10-$A62))/2)+U$23/2,0)</f>
        <v>1</v>
      </c>
      <c r="V18" s="1014">
        <f t="shared" si="106"/>
        <v>10</v>
      </c>
      <c r="W18" s="1014">
        <f t="shared" si="106"/>
        <v>4</v>
      </c>
      <c r="X18" s="1014">
        <f t="shared" si="106"/>
        <v>7</v>
      </c>
      <c r="Y18" s="1015">
        <f t="shared" si="84"/>
        <v>2</v>
      </c>
      <c r="Z18" s="1016">
        <f t="shared" si="85"/>
        <v>45</v>
      </c>
      <c r="AA18" s="1017">
        <f t="shared" ref="AA18:AD18" si="107">ROUND((AA$23*POWER(0.99,14*(10-$A62))/2)+AA$23/2,0)</f>
        <v>1</v>
      </c>
      <c r="AB18" s="1017">
        <f t="shared" si="107"/>
        <v>10</v>
      </c>
      <c r="AC18" s="1017">
        <f t="shared" si="107"/>
        <v>7</v>
      </c>
      <c r="AD18" s="1017">
        <f t="shared" si="107"/>
        <v>7</v>
      </c>
      <c r="AE18" s="1018">
        <f t="shared" si="87"/>
        <v>1</v>
      </c>
      <c r="AF18" s="1019">
        <f t="shared" si="88"/>
        <v>50</v>
      </c>
      <c r="AG18" s="1020">
        <f t="shared" ref="AG18:AJ18" si="108">ROUND((AG$23*POWER(0.99,14*(10-$A62))/2)+AG$23/2,0)</f>
        <v>0</v>
      </c>
      <c r="AH18" s="1020">
        <f t="shared" si="108"/>
        <v>8</v>
      </c>
      <c r="AI18" s="1020">
        <f t="shared" si="108"/>
        <v>9</v>
      </c>
      <c r="AJ18" s="1020">
        <f t="shared" si="108"/>
        <v>9</v>
      </c>
      <c r="AK18" s="1021">
        <f t="shared" si="90"/>
        <v>2</v>
      </c>
    </row>
    <row r="19" ht="19.5" customHeight="1">
      <c r="A19" s="1006">
        <v>6.0</v>
      </c>
      <c r="B19" s="1007">
        <f t="shared" si="73"/>
        <v>55</v>
      </c>
      <c r="C19" s="1008">
        <f t="shared" ref="C19:F19" si="109">ROUND((C$23*POWER(0.99,14*(10-$A30))/2)+C$23/2,0)</f>
        <v>9</v>
      </c>
      <c r="D19" s="1008">
        <f t="shared" si="109"/>
        <v>5</v>
      </c>
      <c r="E19" s="1008">
        <f t="shared" si="109"/>
        <v>10</v>
      </c>
      <c r="F19" s="1008">
        <f t="shared" si="109"/>
        <v>11</v>
      </c>
      <c r="G19" s="1009">
        <f t="shared" si="75"/>
        <v>1</v>
      </c>
      <c r="H19" s="1010">
        <f t="shared" si="76"/>
        <v>55</v>
      </c>
      <c r="I19" s="1011">
        <f t="shared" ref="I19:L19" si="110">ROUND((I$23*POWER(0.99,14*(10-$A30))/2)+I$23/2,0)</f>
        <v>9</v>
      </c>
      <c r="J19" s="1011">
        <f t="shared" si="110"/>
        <v>2</v>
      </c>
      <c r="K19" s="1011">
        <f t="shared" si="110"/>
        <v>5</v>
      </c>
      <c r="L19" s="1011">
        <f t="shared" si="110"/>
        <v>5</v>
      </c>
      <c r="M19" s="1012">
        <f t="shared" si="78"/>
        <v>1</v>
      </c>
      <c r="N19" s="877">
        <f t="shared" si="79"/>
        <v>50</v>
      </c>
      <c r="O19" s="882">
        <f t="shared" ref="O19:R19" si="111">ROUND((O$23*POWER(0.99,14*(10-$A30))/2)+O$23/2,0)</f>
        <v>8</v>
      </c>
      <c r="P19" s="882">
        <f t="shared" si="111"/>
        <v>4</v>
      </c>
      <c r="Q19" s="882">
        <f t="shared" si="111"/>
        <v>7</v>
      </c>
      <c r="R19" s="882">
        <f t="shared" si="111"/>
        <v>7</v>
      </c>
      <c r="S19" s="886">
        <f t="shared" si="81"/>
        <v>3</v>
      </c>
      <c r="T19" s="1013">
        <f t="shared" si="82"/>
        <v>55</v>
      </c>
      <c r="U19" s="1014">
        <f t="shared" ref="U19:X19" si="112">ROUND((U$23*POWER(0.99,14*(10-$A63))/2)+U$23/2,0)</f>
        <v>1</v>
      </c>
      <c r="V19" s="1014">
        <f t="shared" si="112"/>
        <v>10</v>
      </c>
      <c r="W19" s="1014">
        <f t="shared" si="112"/>
        <v>5</v>
      </c>
      <c r="X19" s="1014">
        <f t="shared" si="112"/>
        <v>8</v>
      </c>
      <c r="Y19" s="1015">
        <f t="shared" si="84"/>
        <v>2</v>
      </c>
      <c r="Z19" s="1016">
        <f t="shared" si="85"/>
        <v>50</v>
      </c>
      <c r="AA19" s="1017">
        <f t="shared" ref="AA19:AD19" si="113">ROUND((AA$23*POWER(0.99,14*(10-$A63))/2)+AA$23/2,0)</f>
        <v>2</v>
      </c>
      <c r="AB19" s="1017">
        <f t="shared" si="113"/>
        <v>11</v>
      </c>
      <c r="AC19" s="1017">
        <f t="shared" si="113"/>
        <v>7</v>
      </c>
      <c r="AD19" s="1017">
        <f t="shared" si="113"/>
        <v>7</v>
      </c>
      <c r="AE19" s="1018">
        <f t="shared" si="87"/>
        <v>1</v>
      </c>
      <c r="AF19" s="1019">
        <f t="shared" si="88"/>
        <v>55</v>
      </c>
      <c r="AG19" s="1020">
        <f t="shared" ref="AG19:AJ19" si="114">ROUND((AG$23*POWER(0.99,14*(10-$A63))/2)+AG$23/2,0)</f>
        <v>0</v>
      </c>
      <c r="AH19" s="1020">
        <f t="shared" si="114"/>
        <v>9</v>
      </c>
      <c r="AI19" s="1020">
        <f t="shared" si="114"/>
        <v>9</v>
      </c>
      <c r="AJ19" s="1020">
        <f t="shared" si="114"/>
        <v>9</v>
      </c>
      <c r="AK19" s="1021">
        <f t="shared" si="90"/>
        <v>2</v>
      </c>
    </row>
    <row r="20" ht="19.5" customHeight="1">
      <c r="A20" s="1006">
        <v>7.0</v>
      </c>
      <c r="B20" s="1007">
        <f t="shared" si="73"/>
        <v>55</v>
      </c>
      <c r="C20" s="1008">
        <f t="shared" ref="C20:F20" si="115">ROUND((C$23*POWER(0.99,14*(10-$A31))/2)+C$23/2,0)</f>
        <v>9</v>
      </c>
      <c r="D20" s="1008">
        <f t="shared" si="115"/>
        <v>6</v>
      </c>
      <c r="E20" s="1008">
        <f t="shared" si="115"/>
        <v>11</v>
      </c>
      <c r="F20" s="1008">
        <f t="shared" si="115"/>
        <v>12</v>
      </c>
      <c r="G20" s="1009">
        <f t="shared" si="75"/>
        <v>1</v>
      </c>
      <c r="H20" s="1010">
        <f t="shared" si="76"/>
        <v>55</v>
      </c>
      <c r="I20" s="1011">
        <f t="shared" ref="I20:L20" si="116">ROUND((I$23*POWER(0.99,14*(10-$A31))/2)+I$23/2,0)</f>
        <v>10</v>
      </c>
      <c r="J20" s="1011">
        <f t="shared" si="116"/>
        <v>2</v>
      </c>
      <c r="K20" s="1011">
        <f t="shared" si="116"/>
        <v>5</v>
      </c>
      <c r="L20" s="1011">
        <f t="shared" si="116"/>
        <v>5</v>
      </c>
      <c r="M20" s="1012">
        <f t="shared" si="78"/>
        <v>1</v>
      </c>
      <c r="N20" s="877">
        <f t="shared" si="79"/>
        <v>50</v>
      </c>
      <c r="O20" s="882">
        <f t="shared" ref="O20:R20" si="117">ROUND((O$23*POWER(0.99,14*(10-$A31))/2)+O$23/2,0)</f>
        <v>8</v>
      </c>
      <c r="P20" s="882">
        <f t="shared" si="117"/>
        <v>4</v>
      </c>
      <c r="Q20" s="882">
        <f t="shared" si="117"/>
        <v>7</v>
      </c>
      <c r="R20" s="882">
        <f t="shared" si="117"/>
        <v>7</v>
      </c>
      <c r="S20" s="886">
        <f t="shared" si="81"/>
        <v>3</v>
      </c>
      <c r="T20" s="1013">
        <f t="shared" si="82"/>
        <v>60</v>
      </c>
      <c r="U20" s="1014">
        <f t="shared" ref="U20:X20" si="118">ROUND((U$23*POWER(0.99,14*(10-$A64))/2)+U$23/2,0)</f>
        <v>1</v>
      </c>
      <c r="V20" s="1014">
        <f t="shared" si="118"/>
        <v>11</v>
      </c>
      <c r="W20" s="1014">
        <f t="shared" si="118"/>
        <v>5</v>
      </c>
      <c r="X20" s="1014">
        <f t="shared" si="118"/>
        <v>8</v>
      </c>
      <c r="Y20" s="1015">
        <f t="shared" si="84"/>
        <v>2</v>
      </c>
      <c r="Z20" s="1016">
        <f t="shared" si="85"/>
        <v>50</v>
      </c>
      <c r="AA20" s="1017">
        <f t="shared" ref="AA20:AD20" si="119">ROUND((AA$23*POWER(0.99,14*(10-$A64))/2)+AA$23/2,0)</f>
        <v>2</v>
      </c>
      <c r="AB20" s="1017">
        <f t="shared" si="119"/>
        <v>12</v>
      </c>
      <c r="AC20" s="1017">
        <f t="shared" si="119"/>
        <v>7</v>
      </c>
      <c r="AD20" s="1017">
        <f t="shared" si="119"/>
        <v>7</v>
      </c>
      <c r="AE20" s="1018">
        <f t="shared" si="87"/>
        <v>1</v>
      </c>
      <c r="AF20" s="1019">
        <f t="shared" si="88"/>
        <v>55</v>
      </c>
      <c r="AG20" s="1020">
        <f t="shared" ref="AG20:AJ20" si="120">ROUND((AG$23*POWER(0.99,14*(10-$A64))/2)+AG$23/2,0)</f>
        <v>0</v>
      </c>
      <c r="AH20" s="1020">
        <f t="shared" si="120"/>
        <v>9</v>
      </c>
      <c r="AI20" s="1020">
        <f t="shared" si="120"/>
        <v>10</v>
      </c>
      <c r="AJ20" s="1020">
        <f t="shared" si="120"/>
        <v>10</v>
      </c>
      <c r="AK20" s="1021">
        <f t="shared" si="90"/>
        <v>2</v>
      </c>
    </row>
    <row r="21" ht="19.5" customHeight="1">
      <c r="A21" s="1006">
        <v>8.0</v>
      </c>
      <c r="B21" s="1007">
        <f t="shared" si="73"/>
        <v>60</v>
      </c>
      <c r="C21" s="1008">
        <f t="shared" ref="C21:F21" si="121">ROUND((C$23*POWER(0.99,14*(10-$A32))/2)+C$23/2,0)</f>
        <v>10</v>
      </c>
      <c r="D21" s="1008">
        <f t="shared" si="121"/>
        <v>6</v>
      </c>
      <c r="E21" s="1008">
        <f t="shared" si="121"/>
        <v>11</v>
      </c>
      <c r="F21" s="1008">
        <f t="shared" si="121"/>
        <v>12</v>
      </c>
      <c r="G21" s="1009">
        <f t="shared" si="75"/>
        <v>1</v>
      </c>
      <c r="H21" s="1010">
        <f t="shared" si="76"/>
        <v>60</v>
      </c>
      <c r="I21" s="1011">
        <f t="shared" ref="I21:L21" si="122">ROUND((I$23*POWER(0.99,14*(10-$A32))/2)+I$23/2,0)</f>
        <v>11</v>
      </c>
      <c r="J21" s="1011">
        <f t="shared" si="122"/>
        <v>2</v>
      </c>
      <c r="K21" s="1011">
        <f t="shared" si="122"/>
        <v>5</v>
      </c>
      <c r="L21" s="1011">
        <f t="shared" si="122"/>
        <v>5</v>
      </c>
      <c r="M21" s="1012">
        <f t="shared" si="78"/>
        <v>1</v>
      </c>
      <c r="N21" s="877">
        <f t="shared" si="79"/>
        <v>55</v>
      </c>
      <c r="O21" s="882">
        <f t="shared" ref="O21:R21" si="123">ROUND((O$23*POWER(0.99,14*(10-$A32))/2)+O$23/2,0)</f>
        <v>9</v>
      </c>
      <c r="P21" s="882">
        <f t="shared" si="123"/>
        <v>4</v>
      </c>
      <c r="Q21" s="882">
        <f t="shared" si="123"/>
        <v>8</v>
      </c>
      <c r="R21" s="882">
        <f t="shared" si="123"/>
        <v>8</v>
      </c>
      <c r="S21" s="886">
        <f t="shared" si="81"/>
        <v>3</v>
      </c>
      <c r="T21" s="1013">
        <f t="shared" si="82"/>
        <v>65</v>
      </c>
      <c r="U21" s="1014">
        <f t="shared" ref="U21:X21" si="124">ROUND((U$23*POWER(0.99,14*(10-$A65))/2)+U$23/2,0)</f>
        <v>1</v>
      </c>
      <c r="V21" s="1014">
        <f t="shared" si="124"/>
        <v>11</v>
      </c>
      <c r="W21" s="1014">
        <f t="shared" si="124"/>
        <v>5</v>
      </c>
      <c r="X21" s="1014">
        <f t="shared" si="124"/>
        <v>9</v>
      </c>
      <c r="Y21" s="1015">
        <f t="shared" si="84"/>
        <v>2</v>
      </c>
      <c r="Z21" s="1016">
        <f t="shared" si="85"/>
        <v>55</v>
      </c>
      <c r="AA21" s="1017">
        <f t="shared" ref="AA21:AD21" si="125">ROUND((AA$23*POWER(0.99,14*(10-$A65))/2)+AA$23/2,0)</f>
        <v>2</v>
      </c>
      <c r="AB21" s="1017">
        <f t="shared" si="125"/>
        <v>12</v>
      </c>
      <c r="AC21" s="1017">
        <f t="shared" si="125"/>
        <v>8</v>
      </c>
      <c r="AD21" s="1017">
        <f t="shared" si="125"/>
        <v>8</v>
      </c>
      <c r="AE21" s="1018">
        <f t="shared" si="87"/>
        <v>1</v>
      </c>
      <c r="AF21" s="1019">
        <f t="shared" si="88"/>
        <v>60</v>
      </c>
      <c r="AG21" s="1020">
        <f t="shared" ref="AG21:AJ21" si="126">ROUND((AG$23*POWER(0.99,14*(10-$A65))/2)+AG$23/2,0)</f>
        <v>0</v>
      </c>
      <c r="AH21" s="1020">
        <f t="shared" si="126"/>
        <v>10</v>
      </c>
      <c r="AI21" s="1020">
        <f t="shared" si="126"/>
        <v>11</v>
      </c>
      <c r="AJ21" s="1020">
        <f t="shared" si="126"/>
        <v>11</v>
      </c>
      <c r="AK21" s="1021">
        <f t="shared" si="90"/>
        <v>2</v>
      </c>
    </row>
    <row r="22" ht="19.5" customHeight="1">
      <c r="A22" s="1006">
        <v>9.0</v>
      </c>
      <c r="B22" s="1007">
        <f t="shared" si="73"/>
        <v>65</v>
      </c>
      <c r="C22" s="1008">
        <f t="shared" ref="C22:F22" si="127">ROUND((C$23*POWER(0.99,14*(10-$A33))/2)+C$23/2,0)</f>
        <v>10</v>
      </c>
      <c r="D22" s="1008">
        <f t="shared" si="127"/>
        <v>7</v>
      </c>
      <c r="E22" s="1008">
        <f t="shared" si="127"/>
        <v>12</v>
      </c>
      <c r="F22" s="1008">
        <f t="shared" si="127"/>
        <v>13</v>
      </c>
      <c r="G22" s="1009">
        <f t="shared" si="75"/>
        <v>1</v>
      </c>
      <c r="H22" s="1010">
        <f t="shared" si="76"/>
        <v>65</v>
      </c>
      <c r="I22" s="1011">
        <f t="shared" ref="I22:L22" si="128">ROUND((I$23*POWER(0.99,14*(10-$A33))/2)+I$23/2,0)</f>
        <v>11</v>
      </c>
      <c r="J22" s="1011">
        <f t="shared" si="128"/>
        <v>2</v>
      </c>
      <c r="K22" s="1011">
        <f t="shared" si="128"/>
        <v>6</v>
      </c>
      <c r="L22" s="1011">
        <f t="shared" si="128"/>
        <v>6</v>
      </c>
      <c r="M22" s="1012">
        <f t="shared" si="78"/>
        <v>1</v>
      </c>
      <c r="N22" s="877">
        <f t="shared" si="79"/>
        <v>60</v>
      </c>
      <c r="O22" s="882">
        <f t="shared" ref="O22:R22" si="129">ROUND((O$23*POWER(0.99,14*(10-$A33))/2)+O$23/2,0)</f>
        <v>9</v>
      </c>
      <c r="P22" s="882">
        <f t="shared" si="129"/>
        <v>5</v>
      </c>
      <c r="Q22" s="882">
        <f t="shared" si="129"/>
        <v>8</v>
      </c>
      <c r="R22" s="882">
        <f t="shared" si="129"/>
        <v>8</v>
      </c>
      <c r="S22" s="886">
        <f t="shared" si="81"/>
        <v>3</v>
      </c>
      <c r="T22" s="1013">
        <f t="shared" si="82"/>
        <v>70</v>
      </c>
      <c r="U22" s="1014">
        <f t="shared" ref="U22:X22" si="130">ROUND((U$23*POWER(0.99,14*(10-$A66))/2)+U$23/2,0)</f>
        <v>1</v>
      </c>
      <c r="V22" s="1014">
        <f t="shared" si="130"/>
        <v>12</v>
      </c>
      <c r="W22" s="1014">
        <f t="shared" si="130"/>
        <v>6</v>
      </c>
      <c r="X22" s="1014">
        <f t="shared" si="130"/>
        <v>9</v>
      </c>
      <c r="Y22" s="1015">
        <f t="shared" si="84"/>
        <v>2</v>
      </c>
      <c r="Z22" s="1016">
        <f t="shared" si="85"/>
        <v>60</v>
      </c>
      <c r="AA22" s="1017">
        <f t="shared" ref="AA22:AD22" si="131">ROUND((AA$23*POWER(0.99,14*(10-$A66))/2)+AA$23/2,0)</f>
        <v>2</v>
      </c>
      <c r="AB22" s="1017">
        <f t="shared" si="131"/>
        <v>13</v>
      </c>
      <c r="AC22" s="1017">
        <f t="shared" si="131"/>
        <v>8</v>
      </c>
      <c r="AD22" s="1017">
        <f t="shared" si="131"/>
        <v>8</v>
      </c>
      <c r="AE22" s="1018">
        <f t="shared" si="87"/>
        <v>1</v>
      </c>
      <c r="AF22" s="1019">
        <f t="shared" si="88"/>
        <v>65</v>
      </c>
      <c r="AG22" s="1020">
        <f t="shared" ref="AG22:AJ22" si="132">ROUND((AG$23*POWER(0.99,14*(10-$A66))/2)+AG$23/2,0)</f>
        <v>0</v>
      </c>
      <c r="AH22" s="1020">
        <f t="shared" si="132"/>
        <v>10</v>
      </c>
      <c r="AI22" s="1020">
        <f t="shared" si="132"/>
        <v>11</v>
      </c>
      <c r="AJ22" s="1020">
        <f t="shared" si="132"/>
        <v>11</v>
      </c>
      <c r="AK22" s="1021">
        <f t="shared" si="90"/>
        <v>2</v>
      </c>
    </row>
    <row r="23" ht="19.5" customHeight="1">
      <c r="A23" s="1022">
        <v>10.0</v>
      </c>
      <c r="B23" s="1023">
        <v>65.0</v>
      </c>
      <c r="C23" s="1024">
        <v>11.0</v>
      </c>
      <c r="D23" s="1024">
        <v>7.0</v>
      </c>
      <c r="E23" s="1024">
        <v>13.0</v>
      </c>
      <c r="F23" s="1024">
        <v>14.0</v>
      </c>
      <c r="G23" s="1025">
        <v>1.0</v>
      </c>
      <c r="H23" s="1026">
        <v>65.0</v>
      </c>
      <c r="I23" s="1027">
        <v>12.0</v>
      </c>
      <c r="J23" s="1027">
        <v>2.0</v>
      </c>
      <c r="K23" s="1027">
        <v>6.0</v>
      </c>
      <c r="L23" s="1027">
        <v>6.0</v>
      </c>
      <c r="M23" s="1028">
        <v>1.0</v>
      </c>
      <c r="N23" s="1029">
        <v>60.0</v>
      </c>
      <c r="O23" s="1030">
        <v>10.0</v>
      </c>
      <c r="P23" s="1030">
        <v>5.0</v>
      </c>
      <c r="Q23" s="1030">
        <v>9.0</v>
      </c>
      <c r="R23" s="1030">
        <v>9.0</v>
      </c>
      <c r="S23" s="1031">
        <v>3.0</v>
      </c>
      <c r="T23" s="1032">
        <v>70.0</v>
      </c>
      <c r="U23" s="1033">
        <v>1.0</v>
      </c>
      <c r="V23" s="1033">
        <v>13.0</v>
      </c>
      <c r="W23" s="1033">
        <v>6.0</v>
      </c>
      <c r="X23" s="1033">
        <v>10.0</v>
      </c>
      <c r="Y23" s="1034">
        <v>2.0</v>
      </c>
      <c r="Z23" s="1035">
        <v>60.0</v>
      </c>
      <c r="AA23" s="1036">
        <v>2.0</v>
      </c>
      <c r="AB23" s="1036">
        <v>14.0</v>
      </c>
      <c r="AC23" s="1036">
        <v>9.0</v>
      </c>
      <c r="AD23" s="1036">
        <v>9.0</v>
      </c>
      <c r="AE23" s="1037">
        <v>1.0</v>
      </c>
      <c r="AF23" s="1038">
        <v>65.0</v>
      </c>
      <c r="AG23" s="1039">
        <v>0.0</v>
      </c>
      <c r="AH23" s="1039">
        <v>11.0</v>
      </c>
      <c r="AI23" s="1039">
        <v>12.0</v>
      </c>
      <c r="AJ23" s="1039">
        <v>12.0</v>
      </c>
      <c r="AK23" s="1040">
        <v>2.0</v>
      </c>
    </row>
    <row r="24" ht="28.5" customHeight="1">
      <c r="A24" s="1041" t="s">
        <v>1504</v>
      </c>
      <c r="B24" s="1042" t="s">
        <v>64</v>
      </c>
      <c r="C24" s="1043"/>
      <c r="D24" s="1043"/>
      <c r="E24" s="1043"/>
      <c r="F24" s="1043"/>
      <c r="G24" s="1044"/>
      <c r="H24" s="1045" t="s">
        <v>856</v>
      </c>
      <c r="I24" s="1043"/>
      <c r="J24" s="1043"/>
      <c r="K24" s="1043"/>
      <c r="L24" s="1043"/>
      <c r="M24" s="1044"/>
      <c r="N24" s="1046" t="s">
        <v>1496</v>
      </c>
      <c r="O24" s="1043"/>
      <c r="P24" s="1043"/>
      <c r="Q24" s="1043"/>
      <c r="R24" s="1043"/>
      <c r="S24" s="1044"/>
      <c r="T24" s="1047" t="s">
        <v>845</v>
      </c>
      <c r="U24" s="1043"/>
      <c r="V24" s="1043"/>
      <c r="W24" s="1043"/>
      <c r="X24" s="1043"/>
      <c r="Y24" s="1044"/>
      <c r="Z24" s="1048" t="s">
        <v>946</v>
      </c>
      <c r="AA24" s="1043"/>
      <c r="AB24" s="1043"/>
      <c r="AC24" s="1043"/>
      <c r="AD24" s="1043"/>
      <c r="AE24" s="1044"/>
      <c r="AF24" s="1049" t="s">
        <v>1015</v>
      </c>
      <c r="AG24" s="1043"/>
      <c r="AH24" s="1043"/>
      <c r="AI24" s="1043"/>
      <c r="AJ24" s="1043"/>
      <c r="AK24" s="1044"/>
    </row>
    <row r="25" ht="19.5" customHeight="1">
      <c r="A25" s="1006">
        <v>1.0</v>
      </c>
      <c r="B25" s="1050">
        <f t="shared" ref="B25:B33" si="139">ROUNDUP(((B$34*POWER(0.99,14*(10-$A47))/2)+B$34/2)/5,0)*5</f>
        <v>40</v>
      </c>
      <c r="C25" s="1051">
        <f t="shared" ref="C25:F25" si="133">ROUND((C$34*POWER(0.99,14*(10-$A47))/2)+C$34/2,0)</f>
        <v>4</v>
      </c>
      <c r="D25" s="1051">
        <f t="shared" si="133"/>
        <v>8</v>
      </c>
      <c r="E25" s="1051">
        <f t="shared" si="133"/>
        <v>3</v>
      </c>
      <c r="F25" s="1051">
        <f t="shared" si="133"/>
        <v>10</v>
      </c>
      <c r="G25" s="1052">
        <f t="shared" ref="G25:G33" si="141">G$34</f>
        <v>1</v>
      </c>
      <c r="H25" s="1053">
        <f t="shared" ref="H25:H33" si="142">ROUNDUP(((H$34*POWER(0.99,14*(10-$A47))/2)+H$34/2)/5,0)*5</f>
        <v>45</v>
      </c>
      <c r="I25" s="1054">
        <f t="shared" ref="I25:L25" si="134">ROUND((I$34*POWER(0.99,14*(10-$A47))/2)+I$34/2,0)</f>
        <v>3</v>
      </c>
      <c r="J25" s="1054">
        <f t="shared" si="134"/>
        <v>7</v>
      </c>
      <c r="K25" s="1054">
        <f t="shared" si="134"/>
        <v>6</v>
      </c>
      <c r="L25" s="1054">
        <f t="shared" si="134"/>
        <v>6</v>
      </c>
      <c r="M25" s="1055">
        <f t="shared" ref="M25:M33" si="144">M$34</f>
        <v>2</v>
      </c>
      <c r="N25" s="1056">
        <f t="shared" ref="N25:N33" si="145">ROUNDUP(((N$34*POWER(0.99,14*(10-$A47))/2)+N$34/2)/5,0)*5</f>
        <v>45</v>
      </c>
      <c r="O25" s="1057">
        <f t="shared" ref="O25:R25" si="135">ROUND((O$34*POWER(0.99,14*(10-$A47))/2)+O$34/2,0)</f>
        <v>3</v>
      </c>
      <c r="P25" s="1057">
        <f t="shared" si="135"/>
        <v>6</v>
      </c>
      <c r="Q25" s="1057">
        <f t="shared" si="135"/>
        <v>8</v>
      </c>
      <c r="R25" s="1057">
        <f t="shared" si="135"/>
        <v>6</v>
      </c>
      <c r="S25" s="1058">
        <f t="shared" ref="S25:S33" si="147">S$34</f>
        <v>1</v>
      </c>
      <c r="T25" s="1059">
        <f t="shared" ref="T25:T33" si="148">ROUNDUP(((T$34*POWER(0.99,14*(10-$A36))/2)+T$34/2)/5,0)*5</f>
        <v>45</v>
      </c>
      <c r="U25" s="1060">
        <f t="shared" ref="U25:X25" si="136">ROUND((U$34*POWER(0.99,14*(10-$A36))/2)+U$34/2,0)</f>
        <v>4</v>
      </c>
      <c r="V25" s="1060">
        <f t="shared" si="136"/>
        <v>4</v>
      </c>
      <c r="W25" s="1060">
        <f t="shared" si="136"/>
        <v>10</v>
      </c>
      <c r="X25" s="1060">
        <f t="shared" si="136"/>
        <v>6</v>
      </c>
      <c r="Y25" s="1061">
        <f t="shared" ref="Y25:Y33" si="150">Y$34</f>
        <v>2</v>
      </c>
      <c r="Z25" s="1062">
        <f t="shared" ref="Z25:Z33" si="151">ROUNDUP(((Z$34*POWER(0.99,14*(10-$A36))/2)+Z$34/2)/5,0)*5</f>
        <v>45</v>
      </c>
      <c r="AA25" s="1063">
        <f t="shared" ref="AA25:AD25" si="137">ROUND((AA$34*POWER(0.99,14*(10-$A36))/2)+AA$34/2,0)</f>
        <v>0</v>
      </c>
      <c r="AB25" s="1063">
        <f t="shared" si="137"/>
        <v>8</v>
      </c>
      <c r="AC25" s="1063">
        <f t="shared" si="137"/>
        <v>10</v>
      </c>
      <c r="AD25" s="1063">
        <f t="shared" si="137"/>
        <v>10</v>
      </c>
      <c r="AE25" s="1064">
        <f t="shared" ref="AE25:AE33" si="153">AE$34</f>
        <v>1</v>
      </c>
      <c r="AF25" s="1065">
        <f t="shared" ref="AF25:AF33" si="154">ROUNDUP(((AF$34*POWER(0.99,14*(10-$A36))/2)+AF$34/2)/5,0)*5</f>
        <v>45</v>
      </c>
      <c r="AG25" s="1066">
        <f t="shared" ref="AG25:AJ25" si="138">ROUND((AG$34*POWER(0.99,14*(10-$A36))/2)+AG$34/2,0)</f>
        <v>5</v>
      </c>
      <c r="AH25" s="1066">
        <f t="shared" si="138"/>
        <v>8</v>
      </c>
      <c r="AI25" s="1066">
        <f t="shared" si="138"/>
        <v>6</v>
      </c>
      <c r="AJ25" s="1066">
        <f t="shared" si="138"/>
        <v>6</v>
      </c>
      <c r="AK25" s="1067">
        <f t="shared" ref="AK25:AK33" si="156">AK$34</f>
        <v>2</v>
      </c>
    </row>
    <row r="26" ht="19.5" customHeight="1">
      <c r="A26" s="1006">
        <v>2.0</v>
      </c>
      <c r="B26" s="1050">
        <f t="shared" si="139"/>
        <v>40</v>
      </c>
      <c r="C26" s="1051">
        <f t="shared" ref="C26:F26" si="140">ROUND((C$34*POWER(0.99,14*(10-$A48))/2)+C$34/2,0)</f>
        <v>5</v>
      </c>
      <c r="D26" s="1051">
        <f t="shared" si="140"/>
        <v>9</v>
      </c>
      <c r="E26" s="1051">
        <f t="shared" si="140"/>
        <v>3</v>
      </c>
      <c r="F26" s="1051">
        <f t="shared" si="140"/>
        <v>11</v>
      </c>
      <c r="G26" s="1052">
        <f t="shared" si="141"/>
        <v>1</v>
      </c>
      <c r="H26" s="1053">
        <f t="shared" si="142"/>
        <v>45</v>
      </c>
      <c r="I26" s="1054">
        <f t="shared" ref="I26:L26" si="143">ROUND((I$34*POWER(0.99,14*(10-$A48))/2)+I$34/2,0)</f>
        <v>3</v>
      </c>
      <c r="J26" s="1054">
        <f t="shared" si="143"/>
        <v>7</v>
      </c>
      <c r="K26" s="1054">
        <f t="shared" si="143"/>
        <v>6</v>
      </c>
      <c r="L26" s="1054">
        <f t="shared" si="143"/>
        <v>7</v>
      </c>
      <c r="M26" s="1055">
        <f t="shared" si="144"/>
        <v>2</v>
      </c>
      <c r="N26" s="1056">
        <f t="shared" si="145"/>
        <v>45</v>
      </c>
      <c r="O26" s="1057">
        <f t="shared" ref="O26:R26" si="146">ROUND((O$34*POWER(0.99,14*(10-$A48))/2)+O$34/2,0)</f>
        <v>3</v>
      </c>
      <c r="P26" s="1057">
        <f t="shared" si="146"/>
        <v>6</v>
      </c>
      <c r="Q26" s="1057">
        <f t="shared" si="146"/>
        <v>8</v>
      </c>
      <c r="R26" s="1057">
        <f t="shared" si="146"/>
        <v>6</v>
      </c>
      <c r="S26" s="1058">
        <f t="shared" si="147"/>
        <v>1</v>
      </c>
      <c r="T26" s="1059">
        <f t="shared" si="148"/>
        <v>45</v>
      </c>
      <c r="U26" s="1060">
        <f t="shared" ref="U26:X26" si="149">ROUND((U$34*POWER(0.99,14*(10-$A37))/2)+U$34/2,0)</f>
        <v>4</v>
      </c>
      <c r="V26" s="1060">
        <f t="shared" si="149"/>
        <v>5</v>
      </c>
      <c r="W26" s="1060">
        <f t="shared" si="149"/>
        <v>10</v>
      </c>
      <c r="X26" s="1060">
        <f t="shared" si="149"/>
        <v>7</v>
      </c>
      <c r="Y26" s="1061">
        <f t="shared" si="150"/>
        <v>2</v>
      </c>
      <c r="Z26" s="1062">
        <f t="shared" si="151"/>
        <v>45</v>
      </c>
      <c r="AA26" s="1063">
        <f t="shared" ref="AA26:AD26" si="152">ROUND((AA$34*POWER(0.99,14*(10-$A37))/2)+AA$34/2,0)</f>
        <v>0</v>
      </c>
      <c r="AB26" s="1063">
        <f t="shared" si="152"/>
        <v>9</v>
      </c>
      <c r="AC26" s="1063">
        <f t="shared" si="152"/>
        <v>10</v>
      </c>
      <c r="AD26" s="1063">
        <f t="shared" si="152"/>
        <v>10</v>
      </c>
      <c r="AE26" s="1064">
        <f t="shared" si="153"/>
        <v>1</v>
      </c>
      <c r="AF26" s="1065">
        <f t="shared" si="154"/>
        <v>50</v>
      </c>
      <c r="AG26" s="1066">
        <f t="shared" ref="AG26:AJ26" si="155">ROUND((AG$34*POWER(0.99,14*(10-$A37))/2)+AG$34/2,0)</f>
        <v>5</v>
      </c>
      <c r="AH26" s="1066">
        <f t="shared" si="155"/>
        <v>9</v>
      </c>
      <c r="AI26" s="1066">
        <f t="shared" si="155"/>
        <v>6</v>
      </c>
      <c r="AJ26" s="1066">
        <f t="shared" si="155"/>
        <v>6</v>
      </c>
      <c r="AK26" s="1067">
        <f t="shared" si="156"/>
        <v>2</v>
      </c>
    </row>
    <row r="27" ht="19.5" customHeight="1">
      <c r="A27" s="1006">
        <v>3.0</v>
      </c>
      <c r="B27" s="1050">
        <f t="shared" si="139"/>
        <v>45</v>
      </c>
      <c r="C27" s="1051">
        <f t="shared" ref="C27:F27" si="157">ROUND((C$34*POWER(0.99,14*(10-$A49))/2)+C$34/2,0)</f>
        <v>5</v>
      </c>
      <c r="D27" s="1051">
        <f t="shared" si="157"/>
        <v>9</v>
      </c>
      <c r="E27" s="1051">
        <f t="shared" si="157"/>
        <v>3</v>
      </c>
      <c r="F27" s="1051">
        <f t="shared" si="157"/>
        <v>11</v>
      </c>
      <c r="G27" s="1052">
        <f t="shared" si="141"/>
        <v>1</v>
      </c>
      <c r="H27" s="1053">
        <f t="shared" si="142"/>
        <v>45</v>
      </c>
      <c r="I27" s="1054">
        <f t="shared" ref="I27:L27" si="158">ROUND((I$34*POWER(0.99,14*(10-$A49))/2)+I$34/2,0)</f>
        <v>3</v>
      </c>
      <c r="J27" s="1054">
        <f t="shared" si="158"/>
        <v>8</v>
      </c>
      <c r="K27" s="1054">
        <f t="shared" si="158"/>
        <v>6</v>
      </c>
      <c r="L27" s="1054">
        <f t="shared" si="158"/>
        <v>7</v>
      </c>
      <c r="M27" s="1055">
        <f t="shared" si="144"/>
        <v>2</v>
      </c>
      <c r="N27" s="1056">
        <f t="shared" si="145"/>
        <v>45</v>
      </c>
      <c r="O27" s="1057">
        <f t="shared" ref="O27:R27" si="159">ROUND((O$34*POWER(0.99,14*(10-$A49))/2)+O$34/2,0)</f>
        <v>3</v>
      </c>
      <c r="P27" s="1057">
        <f t="shared" si="159"/>
        <v>6</v>
      </c>
      <c r="Q27" s="1057">
        <f t="shared" si="159"/>
        <v>8</v>
      </c>
      <c r="R27" s="1057">
        <f t="shared" si="159"/>
        <v>6</v>
      </c>
      <c r="S27" s="1058">
        <f t="shared" si="147"/>
        <v>1</v>
      </c>
      <c r="T27" s="1059">
        <f t="shared" si="148"/>
        <v>45</v>
      </c>
      <c r="U27" s="1060">
        <f t="shared" ref="U27:X27" si="160">ROUND((U$34*POWER(0.99,14*(10-$A38))/2)+U$34/2,0)</f>
        <v>4</v>
      </c>
      <c r="V27" s="1060">
        <f t="shared" si="160"/>
        <v>5</v>
      </c>
      <c r="W27" s="1060">
        <f t="shared" si="160"/>
        <v>10</v>
      </c>
      <c r="X27" s="1060">
        <f t="shared" si="160"/>
        <v>7</v>
      </c>
      <c r="Y27" s="1061">
        <f t="shared" si="150"/>
        <v>2</v>
      </c>
      <c r="Z27" s="1062">
        <f t="shared" si="151"/>
        <v>45</v>
      </c>
      <c r="AA27" s="1063">
        <f t="shared" ref="AA27:AD27" si="161">ROUND((AA$34*POWER(0.99,14*(10-$A38))/2)+AA$34/2,0)</f>
        <v>0</v>
      </c>
      <c r="AB27" s="1063">
        <f t="shared" si="161"/>
        <v>9</v>
      </c>
      <c r="AC27" s="1063">
        <f t="shared" si="161"/>
        <v>10</v>
      </c>
      <c r="AD27" s="1063">
        <f t="shared" si="161"/>
        <v>10</v>
      </c>
      <c r="AE27" s="1064">
        <f t="shared" si="153"/>
        <v>1</v>
      </c>
      <c r="AF27" s="1065">
        <f t="shared" si="154"/>
        <v>50</v>
      </c>
      <c r="AG27" s="1066">
        <f t="shared" ref="AG27:AJ27" si="162">ROUND((AG$34*POWER(0.99,14*(10-$A38))/2)+AG$34/2,0)</f>
        <v>5</v>
      </c>
      <c r="AH27" s="1066">
        <f t="shared" si="162"/>
        <v>9</v>
      </c>
      <c r="AI27" s="1066">
        <f t="shared" si="162"/>
        <v>6</v>
      </c>
      <c r="AJ27" s="1066">
        <f t="shared" si="162"/>
        <v>6</v>
      </c>
      <c r="AK27" s="1067">
        <f t="shared" si="156"/>
        <v>2</v>
      </c>
    </row>
    <row r="28" ht="19.5" customHeight="1">
      <c r="A28" s="1006">
        <v>4.0</v>
      </c>
      <c r="B28" s="1050">
        <f t="shared" si="139"/>
        <v>45</v>
      </c>
      <c r="C28" s="1051">
        <f t="shared" ref="C28:F28" si="163">ROUND((C$34*POWER(0.99,14*(10-$A50))/2)+C$34/2,0)</f>
        <v>5</v>
      </c>
      <c r="D28" s="1051">
        <f t="shared" si="163"/>
        <v>9</v>
      </c>
      <c r="E28" s="1051">
        <f t="shared" si="163"/>
        <v>4</v>
      </c>
      <c r="F28" s="1051">
        <f t="shared" si="163"/>
        <v>11</v>
      </c>
      <c r="G28" s="1052">
        <f t="shared" si="141"/>
        <v>1</v>
      </c>
      <c r="H28" s="1053">
        <f t="shared" si="142"/>
        <v>50</v>
      </c>
      <c r="I28" s="1054">
        <f t="shared" ref="I28:L28" si="164">ROUND((I$34*POWER(0.99,14*(10-$A50))/2)+I$34/2,0)</f>
        <v>4</v>
      </c>
      <c r="J28" s="1054">
        <f t="shared" si="164"/>
        <v>8</v>
      </c>
      <c r="K28" s="1054">
        <f t="shared" si="164"/>
        <v>6</v>
      </c>
      <c r="L28" s="1054">
        <f t="shared" si="164"/>
        <v>7</v>
      </c>
      <c r="M28" s="1055">
        <f t="shared" si="144"/>
        <v>2</v>
      </c>
      <c r="N28" s="1056">
        <f t="shared" si="145"/>
        <v>50</v>
      </c>
      <c r="O28" s="1057">
        <f t="shared" ref="O28:R28" si="165">ROUND((O$34*POWER(0.99,14*(10-$A50))/2)+O$34/2,0)</f>
        <v>4</v>
      </c>
      <c r="P28" s="1057">
        <f t="shared" si="165"/>
        <v>6</v>
      </c>
      <c r="Q28" s="1057">
        <f t="shared" si="165"/>
        <v>9</v>
      </c>
      <c r="R28" s="1057">
        <f t="shared" si="165"/>
        <v>6</v>
      </c>
      <c r="S28" s="1058">
        <f t="shared" si="147"/>
        <v>1</v>
      </c>
      <c r="T28" s="1059">
        <f t="shared" si="148"/>
        <v>50</v>
      </c>
      <c r="U28" s="1060">
        <f t="shared" ref="U28:X28" si="166">ROUND((U$34*POWER(0.99,14*(10-$A39))/2)+U$34/2,0)</f>
        <v>4</v>
      </c>
      <c r="V28" s="1060">
        <f t="shared" si="166"/>
        <v>5</v>
      </c>
      <c r="W28" s="1060">
        <f t="shared" si="166"/>
        <v>11</v>
      </c>
      <c r="X28" s="1060">
        <f t="shared" si="166"/>
        <v>7</v>
      </c>
      <c r="Y28" s="1061">
        <f t="shared" si="150"/>
        <v>2</v>
      </c>
      <c r="Z28" s="1062">
        <f t="shared" si="151"/>
        <v>50</v>
      </c>
      <c r="AA28" s="1063">
        <f t="shared" ref="AA28:AD28" si="167">ROUND((AA$34*POWER(0.99,14*(10-$A39))/2)+AA$34/2,0)</f>
        <v>0</v>
      </c>
      <c r="AB28" s="1063">
        <f t="shared" si="167"/>
        <v>9</v>
      </c>
      <c r="AC28" s="1063">
        <f t="shared" si="167"/>
        <v>11</v>
      </c>
      <c r="AD28" s="1063">
        <f t="shared" si="167"/>
        <v>11</v>
      </c>
      <c r="AE28" s="1064">
        <f t="shared" si="153"/>
        <v>1</v>
      </c>
      <c r="AF28" s="1065">
        <f t="shared" si="154"/>
        <v>55</v>
      </c>
      <c r="AG28" s="1066">
        <f t="shared" ref="AG28:AJ28" si="168">ROUND((AG$34*POWER(0.99,14*(10-$A39))/2)+AG$34/2,0)</f>
        <v>6</v>
      </c>
      <c r="AH28" s="1066">
        <f t="shared" si="168"/>
        <v>9</v>
      </c>
      <c r="AI28" s="1066">
        <f t="shared" si="168"/>
        <v>6</v>
      </c>
      <c r="AJ28" s="1066">
        <f t="shared" si="168"/>
        <v>6</v>
      </c>
      <c r="AK28" s="1067">
        <f t="shared" si="156"/>
        <v>2</v>
      </c>
    </row>
    <row r="29" ht="19.5" customHeight="1">
      <c r="A29" s="1006">
        <v>5.0</v>
      </c>
      <c r="B29" s="1050">
        <f t="shared" si="139"/>
        <v>45</v>
      </c>
      <c r="C29" s="1051">
        <f t="shared" ref="C29:F29" si="169">ROUND((C$34*POWER(0.99,14*(10-$A51))/2)+C$34/2,0)</f>
        <v>5</v>
      </c>
      <c r="D29" s="1051">
        <f t="shared" si="169"/>
        <v>10</v>
      </c>
      <c r="E29" s="1051">
        <f t="shared" si="169"/>
        <v>4</v>
      </c>
      <c r="F29" s="1051">
        <f t="shared" si="169"/>
        <v>12</v>
      </c>
      <c r="G29" s="1052">
        <f t="shared" si="141"/>
        <v>1</v>
      </c>
      <c r="H29" s="1053">
        <f t="shared" si="142"/>
        <v>50</v>
      </c>
      <c r="I29" s="1054">
        <f t="shared" ref="I29:L29" si="170">ROUND((I$34*POWER(0.99,14*(10-$A51))/2)+I$34/2,0)</f>
        <v>4</v>
      </c>
      <c r="J29" s="1054">
        <f t="shared" si="170"/>
        <v>8</v>
      </c>
      <c r="K29" s="1054">
        <f t="shared" si="170"/>
        <v>7</v>
      </c>
      <c r="L29" s="1054">
        <f t="shared" si="170"/>
        <v>7</v>
      </c>
      <c r="M29" s="1055">
        <f t="shared" si="144"/>
        <v>2</v>
      </c>
      <c r="N29" s="1056">
        <f t="shared" si="145"/>
        <v>50</v>
      </c>
      <c r="O29" s="1057">
        <f t="shared" ref="O29:R29" si="171">ROUND((O$34*POWER(0.99,14*(10-$A51))/2)+O$34/2,0)</f>
        <v>4</v>
      </c>
      <c r="P29" s="1057">
        <f t="shared" si="171"/>
        <v>7</v>
      </c>
      <c r="Q29" s="1057">
        <f t="shared" si="171"/>
        <v>9</v>
      </c>
      <c r="R29" s="1057">
        <f t="shared" si="171"/>
        <v>7</v>
      </c>
      <c r="S29" s="1058">
        <f t="shared" si="147"/>
        <v>1</v>
      </c>
      <c r="T29" s="1059">
        <f t="shared" si="148"/>
        <v>50</v>
      </c>
      <c r="U29" s="1060">
        <f t="shared" ref="U29:X29" si="172">ROUND((U$34*POWER(0.99,14*(10-$A40))/2)+U$34/2,0)</f>
        <v>4</v>
      </c>
      <c r="V29" s="1060">
        <f t="shared" si="172"/>
        <v>5</v>
      </c>
      <c r="W29" s="1060">
        <f t="shared" si="172"/>
        <v>11</v>
      </c>
      <c r="X29" s="1060">
        <f t="shared" si="172"/>
        <v>7</v>
      </c>
      <c r="Y29" s="1061">
        <f t="shared" si="150"/>
        <v>2</v>
      </c>
      <c r="Z29" s="1062">
        <f t="shared" si="151"/>
        <v>50</v>
      </c>
      <c r="AA29" s="1063">
        <f t="shared" ref="AA29:AD29" si="173">ROUND((AA$34*POWER(0.99,14*(10-$A40))/2)+AA$34/2,0)</f>
        <v>0</v>
      </c>
      <c r="AB29" s="1063">
        <f t="shared" si="173"/>
        <v>10</v>
      </c>
      <c r="AC29" s="1063">
        <f t="shared" si="173"/>
        <v>11</v>
      </c>
      <c r="AD29" s="1063">
        <f t="shared" si="173"/>
        <v>11</v>
      </c>
      <c r="AE29" s="1064">
        <f t="shared" si="153"/>
        <v>1</v>
      </c>
      <c r="AF29" s="1065">
        <f t="shared" si="154"/>
        <v>55</v>
      </c>
      <c r="AG29" s="1066">
        <f t="shared" ref="AG29:AJ29" si="174">ROUND((AG$34*POWER(0.99,14*(10-$A40))/2)+AG$34/2,0)</f>
        <v>6</v>
      </c>
      <c r="AH29" s="1066">
        <f t="shared" si="174"/>
        <v>10</v>
      </c>
      <c r="AI29" s="1066">
        <f t="shared" si="174"/>
        <v>7</v>
      </c>
      <c r="AJ29" s="1066">
        <f t="shared" si="174"/>
        <v>7</v>
      </c>
      <c r="AK29" s="1067">
        <f t="shared" si="156"/>
        <v>2</v>
      </c>
    </row>
    <row r="30" ht="19.5" customHeight="1">
      <c r="A30" s="1006">
        <v>6.0</v>
      </c>
      <c r="B30" s="1050">
        <f t="shared" si="139"/>
        <v>50</v>
      </c>
      <c r="C30" s="1051">
        <f t="shared" ref="C30:F30" si="175">ROUND((C$34*POWER(0.99,14*(10-$A52))/2)+C$34/2,0)</f>
        <v>5</v>
      </c>
      <c r="D30" s="1051">
        <f t="shared" si="175"/>
        <v>10</v>
      </c>
      <c r="E30" s="1051">
        <f t="shared" si="175"/>
        <v>4</v>
      </c>
      <c r="F30" s="1051">
        <f t="shared" si="175"/>
        <v>13</v>
      </c>
      <c r="G30" s="1052">
        <f t="shared" si="141"/>
        <v>1</v>
      </c>
      <c r="H30" s="1053">
        <f t="shared" si="142"/>
        <v>55</v>
      </c>
      <c r="I30" s="1054">
        <f t="shared" ref="I30:L30" si="176">ROUND((I$34*POWER(0.99,14*(10-$A52))/2)+I$34/2,0)</f>
        <v>4</v>
      </c>
      <c r="J30" s="1054">
        <f t="shared" si="176"/>
        <v>9</v>
      </c>
      <c r="K30" s="1054">
        <f t="shared" si="176"/>
        <v>7</v>
      </c>
      <c r="L30" s="1054">
        <f t="shared" si="176"/>
        <v>8</v>
      </c>
      <c r="M30" s="1055">
        <f t="shared" si="144"/>
        <v>2</v>
      </c>
      <c r="N30" s="1056">
        <f t="shared" si="145"/>
        <v>55</v>
      </c>
      <c r="O30" s="1057">
        <f t="shared" ref="O30:R30" si="177">ROUND((O$34*POWER(0.99,14*(10-$A52))/2)+O$34/2,0)</f>
        <v>4</v>
      </c>
      <c r="P30" s="1057">
        <f t="shared" si="177"/>
        <v>7</v>
      </c>
      <c r="Q30" s="1057">
        <f t="shared" si="177"/>
        <v>9</v>
      </c>
      <c r="R30" s="1057">
        <f t="shared" si="177"/>
        <v>7</v>
      </c>
      <c r="S30" s="1058">
        <f t="shared" si="147"/>
        <v>1</v>
      </c>
      <c r="T30" s="1059">
        <f t="shared" si="148"/>
        <v>55</v>
      </c>
      <c r="U30" s="1060">
        <f t="shared" ref="U30:X30" si="178">ROUND((U$34*POWER(0.99,14*(10-$A41))/2)+U$34/2,0)</f>
        <v>5</v>
      </c>
      <c r="V30" s="1060">
        <f t="shared" si="178"/>
        <v>5</v>
      </c>
      <c r="W30" s="1060">
        <f t="shared" si="178"/>
        <v>12</v>
      </c>
      <c r="X30" s="1060">
        <f t="shared" si="178"/>
        <v>8</v>
      </c>
      <c r="Y30" s="1061">
        <f t="shared" si="150"/>
        <v>2</v>
      </c>
      <c r="Z30" s="1062">
        <f t="shared" si="151"/>
        <v>55</v>
      </c>
      <c r="AA30" s="1063">
        <f t="shared" ref="AA30:AD30" si="179">ROUND((AA$34*POWER(0.99,14*(10-$A41))/2)+AA$34/2,0)</f>
        <v>0</v>
      </c>
      <c r="AB30" s="1063">
        <f t="shared" si="179"/>
        <v>10</v>
      </c>
      <c r="AC30" s="1063">
        <f t="shared" si="179"/>
        <v>12</v>
      </c>
      <c r="AD30" s="1063">
        <f t="shared" si="179"/>
        <v>12</v>
      </c>
      <c r="AE30" s="1064">
        <f t="shared" si="153"/>
        <v>1</v>
      </c>
      <c r="AF30" s="1065">
        <f t="shared" si="154"/>
        <v>55</v>
      </c>
      <c r="AG30" s="1066">
        <f t="shared" ref="AG30:AJ30" si="180">ROUND((AG$34*POWER(0.99,14*(10-$A41))/2)+AG$34/2,0)</f>
        <v>6</v>
      </c>
      <c r="AH30" s="1066">
        <f t="shared" si="180"/>
        <v>10</v>
      </c>
      <c r="AI30" s="1066">
        <f t="shared" si="180"/>
        <v>7</v>
      </c>
      <c r="AJ30" s="1066">
        <f t="shared" si="180"/>
        <v>7</v>
      </c>
      <c r="AK30" s="1067">
        <f t="shared" si="156"/>
        <v>2</v>
      </c>
    </row>
    <row r="31" ht="19.5" customHeight="1">
      <c r="A31" s="1006">
        <v>7.0</v>
      </c>
      <c r="B31" s="1050">
        <f t="shared" si="139"/>
        <v>50</v>
      </c>
      <c r="C31" s="1051">
        <f t="shared" ref="C31:F31" si="181">ROUND((C$34*POWER(0.99,14*(10-$A53))/2)+C$34/2,0)</f>
        <v>6</v>
      </c>
      <c r="D31" s="1051">
        <f t="shared" si="181"/>
        <v>11</v>
      </c>
      <c r="E31" s="1051">
        <f t="shared" si="181"/>
        <v>4</v>
      </c>
      <c r="F31" s="1051">
        <f t="shared" si="181"/>
        <v>13</v>
      </c>
      <c r="G31" s="1052">
        <f t="shared" si="141"/>
        <v>1</v>
      </c>
      <c r="H31" s="1053">
        <f t="shared" si="142"/>
        <v>55</v>
      </c>
      <c r="I31" s="1054">
        <f t="shared" ref="I31:L31" si="182">ROUND((I$34*POWER(0.99,14*(10-$A53))/2)+I$34/2,0)</f>
        <v>4</v>
      </c>
      <c r="J31" s="1054">
        <f t="shared" si="182"/>
        <v>9</v>
      </c>
      <c r="K31" s="1054">
        <f t="shared" si="182"/>
        <v>7</v>
      </c>
      <c r="L31" s="1054">
        <f t="shared" si="182"/>
        <v>8</v>
      </c>
      <c r="M31" s="1055">
        <f t="shared" si="144"/>
        <v>2</v>
      </c>
      <c r="N31" s="1056">
        <f t="shared" si="145"/>
        <v>55</v>
      </c>
      <c r="O31" s="1057">
        <f t="shared" ref="O31:R31" si="183">ROUND((O$34*POWER(0.99,14*(10-$A53))/2)+O$34/2,0)</f>
        <v>4</v>
      </c>
      <c r="P31" s="1057">
        <f t="shared" si="183"/>
        <v>7</v>
      </c>
      <c r="Q31" s="1057">
        <f t="shared" si="183"/>
        <v>10</v>
      </c>
      <c r="R31" s="1057">
        <f t="shared" si="183"/>
        <v>7</v>
      </c>
      <c r="S31" s="1058">
        <f t="shared" si="147"/>
        <v>1</v>
      </c>
      <c r="T31" s="1059">
        <f t="shared" si="148"/>
        <v>55</v>
      </c>
      <c r="U31" s="1060">
        <f t="shared" ref="U31:X31" si="184">ROUND((U$34*POWER(0.99,14*(10-$A42))/2)+U$34/2,0)</f>
        <v>5</v>
      </c>
      <c r="V31" s="1060">
        <f t="shared" si="184"/>
        <v>6</v>
      </c>
      <c r="W31" s="1060">
        <f t="shared" si="184"/>
        <v>12</v>
      </c>
      <c r="X31" s="1060">
        <f t="shared" si="184"/>
        <v>8</v>
      </c>
      <c r="Y31" s="1061">
        <f t="shared" si="150"/>
        <v>2</v>
      </c>
      <c r="Z31" s="1062">
        <f t="shared" si="151"/>
        <v>55</v>
      </c>
      <c r="AA31" s="1063">
        <f t="shared" ref="AA31:AD31" si="185">ROUND((AA$34*POWER(0.99,14*(10-$A42))/2)+AA$34/2,0)</f>
        <v>0</v>
      </c>
      <c r="AB31" s="1063">
        <f t="shared" si="185"/>
        <v>11</v>
      </c>
      <c r="AC31" s="1063">
        <f t="shared" si="185"/>
        <v>12</v>
      </c>
      <c r="AD31" s="1063">
        <f t="shared" si="185"/>
        <v>12</v>
      </c>
      <c r="AE31" s="1064">
        <f t="shared" si="153"/>
        <v>1</v>
      </c>
      <c r="AF31" s="1065">
        <f t="shared" si="154"/>
        <v>60</v>
      </c>
      <c r="AG31" s="1066">
        <f t="shared" ref="AG31:AJ31" si="186">ROUND((AG$34*POWER(0.99,14*(10-$A42))/2)+AG$34/2,0)</f>
        <v>7</v>
      </c>
      <c r="AH31" s="1066">
        <f t="shared" si="186"/>
        <v>11</v>
      </c>
      <c r="AI31" s="1066">
        <f t="shared" si="186"/>
        <v>7</v>
      </c>
      <c r="AJ31" s="1066">
        <f t="shared" si="186"/>
        <v>7</v>
      </c>
      <c r="AK31" s="1067">
        <f t="shared" si="156"/>
        <v>2</v>
      </c>
    </row>
    <row r="32" ht="19.5" customHeight="1">
      <c r="A32" s="1006">
        <v>8.0</v>
      </c>
      <c r="B32" s="1050">
        <f t="shared" si="139"/>
        <v>55</v>
      </c>
      <c r="C32" s="1051">
        <f t="shared" ref="C32:F32" si="187">ROUND((C$34*POWER(0.99,14*(10-$A54))/2)+C$34/2,0)</f>
        <v>6</v>
      </c>
      <c r="D32" s="1051">
        <f t="shared" si="187"/>
        <v>11</v>
      </c>
      <c r="E32" s="1051">
        <f t="shared" si="187"/>
        <v>4</v>
      </c>
      <c r="F32" s="1051">
        <f t="shared" si="187"/>
        <v>14</v>
      </c>
      <c r="G32" s="1052">
        <f t="shared" si="141"/>
        <v>1</v>
      </c>
      <c r="H32" s="1053">
        <f t="shared" si="142"/>
        <v>60</v>
      </c>
      <c r="I32" s="1054">
        <f t="shared" ref="I32:L32" si="188">ROUND((I$34*POWER(0.99,14*(10-$A54))/2)+I$34/2,0)</f>
        <v>4</v>
      </c>
      <c r="J32" s="1054">
        <f t="shared" si="188"/>
        <v>10</v>
      </c>
      <c r="K32" s="1054">
        <f t="shared" si="188"/>
        <v>8</v>
      </c>
      <c r="L32" s="1054">
        <f t="shared" si="188"/>
        <v>9</v>
      </c>
      <c r="M32" s="1055">
        <f t="shared" si="144"/>
        <v>2</v>
      </c>
      <c r="N32" s="1056">
        <f t="shared" si="145"/>
        <v>60</v>
      </c>
      <c r="O32" s="1057">
        <f t="shared" ref="O32:R32" si="189">ROUND((O$34*POWER(0.99,14*(10-$A54))/2)+O$34/2,0)</f>
        <v>4</v>
      </c>
      <c r="P32" s="1057">
        <f t="shared" si="189"/>
        <v>8</v>
      </c>
      <c r="Q32" s="1057">
        <f t="shared" si="189"/>
        <v>11</v>
      </c>
      <c r="R32" s="1057">
        <f t="shared" si="189"/>
        <v>8</v>
      </c>
      <c r="S32" s="1058">
        <f t="shared" si="147"/>
        <v>1</v>
      </c>
      <c r="T32" s="1059">
        <f t="shared" si="148"/>
        <v>60</v>
      </c>
      <c r="U32" s="1060">
        <f t="shared" ref="U32:X32" si="190">ROUND((U$34*POWER(0.99,14*(10-$A43))/2)+U$34/2,0)</f>
        <v>5</v>
      </c>
      <c r="V32" s="1060">
        <f t="shared" si="190"/>
        <v>6</v>
      </c>
      <c r="W32" s="1060">
        <f t="shared" si="190"/>
        <v>13</v>
      </c>
      <c r="X32" s="1060">
        <f t="shared" si="190"/>
        <v>9</v>
      </c>
      <c r="Y32" s="1061">
        <f t="shared" si="150"/>
        <v>2</v>
      </c>
      <c r="Z32" s="1062">
        <f t="shared" si="151"/>
        <v>60</v>
      </c>
      <c r="AA32" s="1063">
        <f t="shared" ref="AA32:AD32" si="191">ROUND((AA$34*POWER(0.99,14*(10-$A43))/2)+AA$34/2,0)</f>
        <v>0</v>
      </c>
      <c r="AB32" s="1063">
        <f t="shared" si="191"/>
        <v>11</v>
      </c>
      <c r="AC32" s="1063">
        <f t="shared" si="191"/>
        <v>13</v>
      </c>
      <c r="AD32" s="1063">
        <f t="shared" si="191"/>
        <v>13</v>
      </c>
      <c r="AE32" s="1064">
        <f t="shared" si="153"/>
        <v>1</v>
      </c>
      <c r="AF32" s="1065">
        <f t="shared" si="154"/>
        <v>65</v>
      </c>
      <c r="AG32" s="1066">
        <f t="shared" ref="AG32:AJ32" si="192">ROUND((AG$34*POWER(0.99,14*(10-$A43))/2)+AG$34/2,0)</f>
        <v>7</v>
      </c>
      <c r="AH32" s="1066">
        <f t="shared" si="192"/>
        <v>11</v>
      </c>
      <c r="AI32" s="1066">
        <f t="shared" si="192"/>
        <v>8</v>
      </c>
      <c r="AJ32" s="1066">
        <f t="shared" si="192"/>
        <v>8</v>
      </c>
      <c r="AK32" s="1067">
        <f t="shared" si="156"/>
        <v>2</v>
      </c>
    </row>
    <row r="33" ht="19.5" customHeight="1">
      <c r="A33" s="1006">
        <v>9.0</v>
      </c>
      <c r="B33" s="1050">
        <f t="shared" si="139"/>
        <v>60</v>
      </c>
      <c r="C33" s="1051">
        <f t="shared" ref="C33:F33" si="193">ROUND((C$34*POWER(0.99,14*(10-$A55))/2)+C$34/2,0)</f>
        <v>7</v>
      </c>
      <c r="D33" s="1051">
        <f t="shared" si="193"/>
        <v>12</v>
      </c>
      <c r="E33" s="1051">
        <f t="shared" si="193"/>
        <v>5</v>
      </c>
      <c r="F33" s="1051">
        <f t="shared" si="193"/>
        <v>15</v>
      </c>
      <c r="G33" s="1052">
        <f t="shared" si="141"/>
        <v>1</v>
      </c>
      <c r="H33" s="1053">
        <f t="shared" si="142"/>
        <v>65</v>
      </c>
      <c r="I33" s="1054">
        <f t="shared" ref="I33:L33" si="194">ROUND((I$34*POWER(0.99,14*(10-$A55))/2)+I$34/2,0)</f>
        <v>5</v>
      </c>
      <c r="J33" s="1054">
        <f t="shared" si="194"/>
        <v>10</v>
      </c>
      <c r="K33" s="1054">
        <f t="shared" si="194"/>
        <v>8</v>
      </c>
      <c r="L33" s="1054">
        <f t="shared" si="194"/>
        <v>9</v>
      </c>
      <c r="M33" s="1055">
        <f t="shared" si="144"/>
        <v>2</v>
      </c>
      <c r="N33" s="1056">
        <f t="shared" si="145"/>
        <v>65</v>
      </c>
      <c r="O33" s="1057">
        <f t="shared" ref="O33:R33" si="195">ROUND((O$34*POWER(0.99,14*(10-$A55))/2)+O$34/2,0)</f>
        <v>5</v>
      </c>
      <c r="P33" s="1057">
        <f t="shared" si="195"/>
        <v>8</v>
      </c>
      <c r="Q33" s="1057">
        <f t="shared" si="195"/>
        <v>11</v>
      </c>
      <c r="R33" s="1057">
        <f t="shared" si="195"/>
        <v>8</v>
      </c>
      <c r="S33" s="1058">
        <f t="shared" si="147"/>
        <v>1</v>
      </c>
      <c r="T33" s="1059">
        <f t="shared" si="148"/>
        <v>65</v>
      </c>
      <c r="U33" s="1060">
        <f t="shared" ref="U33:X33" si="196">ROUND((U$34*POWER(0.99,14*(10-$A44))/2)+U$34/2,0)</f>
        <v>6</v>
      </c>
      <c r="V33" s="1060">
        <f t="shared" si="196"/>
        <v>7</v>
      </c>
      <c r="W33" s="1060">
        <f t="shared" si="196"/>
        <v>14</v>
      </c>
      <c r="X33" s="1060">
        <f t="shared" si="196"/>
        <v>9</v>
      </c>
      <c r="Y33" s="1061">
        <f t="shared" si="150"/>
        <v>2</v>
      </c>
      <c r="Z33" s="1062">
        <f t="shared" si="151"/>
        <v>65</v>
      </c>
      <c r="AA33" s="1063">
        <f t="shared" ref="AA33:AD33" si="197">ROUND((AA$34*POWER(0.99,14*(10-$A44))/2)+AA$34/2,0)</f>
        <v>0</v>
      </c>
      <c r="AB33" s="1063">
        <f t="shared" si="197"/>
        <v>12</v>
      </c>
      <c r="AC33" s="1063">
        <f t="shared" si="197"/>
        <v>14</v>
      </c>
      <c r="AD33" s="1063">
        <f t="shared" si="197"/>
        <v>14</v>
      </c>
      <c r="AE33" s="1064">
        <f t="shared" si="153"/>
        <v>1</v>
      </c>
      <c r="AF33" s="1065">
        <f t="shared" si="154"/>
        <v>70</v>
      </c>
      <c r="AG33" s="1066">
        <f t="shared" ref="AG33:AJ33" si="198">ROUND((AG$34*POWER(0.99,14*(10-$A44))/2)+AG$34/2,0)</f>
        <v>7</v>
      </c>
      <c r="AH33" s="1066">
        <f t="shared" si="198"/>
        <v>12</v>
      </c>
      <c r="AI33" s="1066">
        <f t="shared" si="198"/>
        <v>8</v>
      </c>
      <c r="AJ33" s="1066">
        <f t="shared" si="198"/>
        <v>8</v>
      </c>
      <c r="AK33" s="1067">
        <f t="shared" si="156"/>
        <v>2</v>
      </c>
    </row>
    <row r="34" ht="19.5" customHeight="1">
      <c r="A34" s="1022">
        <v>10.0</v>
      </c>
      <c r="B34" s="1068">
        <v>60.0</v>
      </c>
      <c r="C34" s="1069">
        <v>7.0</v>
      </c>
      <c r="D34" s="1069">
        <v>13.0</v>
      </c>
      <c r="E34" s="1069">
        <v>5.0</v>
      </c>
      <c r="F34" s="1069">
        <v>16.0</v>
      </c>
      <c r="G34" s="1070">
        <v>1.0</v>
      </c>
      <c r="H34" s="1071">
        <v>65.0</v>
      </c>
      <c r="I34" s="1072">
        <v>5.0</v>
      </c>
      <c r="J34" s="1072">
        <v>11.0</v>
      </c>
      <c r="K34" s="1072">
        <v>9.0</v>
      </c>
      <c r="L34" s="1072">
        <v>10.0</v>
      </c>
      <c r="M34" s="1073">
        <v>2.0</v>
      </c>
      <c r="N34" s="1074">
        <v>65.0</v>
      </c>
      <c r="O34" s="1075">
        <v>5.0</v>
      </c>
      <c r="P34" s="1075">
        <v>9.0</v>
      </c>
      <c r="Q34" s="1075">
        <v>12.0</v>
      </c>
      <c r="R34" s="1075">
        <v>9.0</v>
      </c>
      <c r="S34" s="1076">
        <v>1.0</v>
      </c>
      <c r="T34" s="1077">
        <v>65.0</v>
      </c>
      <c r="U34" s="1078">
        <v>6.0</v>
      </c>
      <c r="V34" s="1078">
        <v>7.0</v>
      </c>
      <c r="W34" s="1078">
        <v>15.0</v>
      </c>
      <c r="X34" s="1078">
        <v>10.0</v>
      </c>
      <c r="Y34" s="1079">
        <v>2.0</v>
      </c>
      <c r="Z34" s="1080">
        <v>65.0</v>
      </c>
      <c r="AA34" s="1081">
        <v>0.0</v>
      </c>
      <c r="AB34" s="1081">
        <v>13.0</v>
      </c>
      <c r="AC34" s="1081">
        <v>15.0</v>
      </c>
      <c r="AD34" s="1081">
        <v>15.0</v>
      </c>
      <c r="AE34" s="1082">
        <v>1.0</v>
      </c>
      <c r="AF34" s="1083">
        <v>70.0</v>
      </c>
      <c r="AG34" s="1084">
        <v>8.0</v>
      </c>
      <c r="AH34" s="1084">
        <v>13.0</v>
      </c>
      <c r="AI34" s="1084">
        <v>9.0</v>
      </c>
      <c r="AJ34" s="1084">
        <v>9.0</v>
      </c>
      <c r="AK34" s="1085">
        <v>2.0</v>
      </c>
    </row>
    <row r="35" ht="28.5" customHeight="1">
      <c r="A35" s="1041" t="s">
        <v>1505</v>
      </c>
      <c r="B35" s="1086" t="s">
        <v>162</v>
      </c>
      <c r="C35" s="1043"/>
      <c r="D35" s="1043"/>
      <c r="E35" s="1043"/>
      <c r="F35" s="1043"/>
      <c r="G35" s="1044"/>
      <c r="H35" s="1087" t="s">
        <v>70</v>
      </c>
      <c r="I35" s="1043"/>
      <c r="J35" s="1043"/>
      <c r="K35" s="1043"/>
      <c r="L35" s="1043"/>
      <c r="M35" s="1044"/>
      <c r="N35" s="1088" t="s">
        <v>56</v>
      </c>
      <c r="O35" s="1043"/>
      <c r="P35" s="1043"/>
      <c r="Q35" s="1043"/>
      <c r="R35" s="1043"/>
      <c r="S35" s="1044"/>
      <c r="T35" s="1089" t="s">
        <v>49</v>
      </c>
      <c r="U35" s="1043"/>
      <c r="V35" s="1043"/>
      <c r="W35" s="1043"/>
      <c r="X35" s="1043"/>
      <c r="Y35" s="1044"/>
      <c r="Z35" s="1090" t="s">
        <v>130</v>
      </c>
      <c r="AA35" s="1043"/>
      <c r="AB35" s="1043"/>
      <c r="AC35" s="1043"/>
      <c r="AD35" s="1043"/>
      <c r="AE35" s="1044"/>
      <c r="AF35" s="1091" t="s">
        <v>85</v>
      </c>
      <c r="AG35" s="1043"/>
      <c r="AH35" s="1043"/>
      <c r="AI35" s="1043"/>
      <c r="AJ35" s="1043"/>
      <c r="AK35" s="1044"/>
    </row>
    <row r="36" ht="19.5" customHeight="1">
      <c r="A36" s="1006">
        <v>1.0</v>
      </c>
      <c r="B36" s="1092">
        <f t="shared" ref="B36:B44" si="205">ROUNDUP(((B$45*POWER(0.99,14*(10-$A14))/2)+B$45/2)/5,0)*5</f>
        <v>45</v>
      </c>
      <c r="C36" s="1093">
        <f t="shared" ref="C36:F36" si="199">ROUND((C$45*POWER(0.99,14*(10-$A14))/2)+C$45/2,0)</f>
        <v>9</v>
      </c>
      <c r="D36" s="1093">
        <f t="shared" si="199"/>
        <v>0</v>
      </c>
      <c r="E36" s="1093">
        <f t="shared" si="199"/>
        <v>10</v>
      </c>
      <c r="F36" s="1093">
        <f t="shared" si="199"/>
        <v>6</v>
      </c>
      <c r="G36" s="1094">
        <f t="shared" ref="G36:G44" si="207">G$45</f>
        <v>2</v>
      </c>
      <c r="H36" s="1095">
        <f t="shared" ref="H36:H44" si="208">ROUNDUP(((H$45*POWER(0.99,14*(10-$A14))/2)+H$45/2)/5,0)*5</f>
        <v>45</v>
      </c>
      <c r="I36" s="1096">
        <f t="shared" ref="I36:L36" si="200">ROUND((I$45*POWER(0.99,14*(10-$A14))/2)+I$45/2,0)</f>
        <v>6</v>
      </c>
      <c r="J36" s="1096">
        <f t="shared" si="200"/>
        <v>0</v>
      </c>
      <c r="K36" s="1096">
        <f t="shared" si="200"/>
        <v>8</v>
      </c>
      <c r="L36" s="1096">
        <f t="shared" si="200"/>
        <v>8</v>
      </c>
      <c r="M36" s="1097">
        <f t="shared" ref="M36:M44" si="210">M$45</f>
        <v>3</v>
      </c>
      <c r="N36" s="1098">
        <f t="shared" ref="N36:N44" si="211">ROUNDUP(((N$45*POWER(0.99,14*(10-$A14))/2)+N$45/2)/5,0)*5</f>
        <v>40</v>
      </c>
      <c r="O36" s="1099">
        <f t="shared" ref="O36:R36" si="201">ROUND((O$45*POWER(0.99,14*(10-$A14))/2)+O$45/2,0)</f>
        <v>6</v>
      </c>
      <c r="P36" s="1099">
        <f t="shared" si="201"/>
        <v>6</v>
      </c>
      <c r="Q36" s="1099">
        <f t="shared" si="201"/>
        <v>8</v>
      </c>
      <c r="R36" s="1099">
        <f t="shared" si="201"/>
        <v>7</v>
      </c>
      <c r="S36" s="1100">
        <f t="shared" ref="S36:S44" si="213">S$45</f>
        <v>2</v>
      </c>
      <c r="T36" s="1101">
        <f t="shared" ref="T36:T44" si="214">ROUNDUP(((T$45*POWER(0.99,14*(10-$A25))/2)+T$45/2)/5,0)*5</f>
        <v>45</v>
      </c>
      <c r="U36" s="1102">
        <f t="shared" ref="U36:X36" si="202">ROUND((U$45*POWER(0.99,14*(10-$A25))/2)+U$45/2,0)</f>
        <v>8</v>
      </c>
      <c r="V36" s="1102">
        <f t="shared" si="202"/>
        <v>3</v>
      </c>
      <c r="W36" s="1102">
        <f t="shared" si="202"/>
        <v>9</v>
      </c>
      <c r="X36" s="1102">
        <f t="shared" si="202"/>
        <v>9</v>
      </c>
      <c r="Y36" s="1103">
        <f t="shared" ref="Y36:Y44" si="216">Y$45</f>
        <v>2</v>
      </c>
      <c r="Z36" s="1104">
        <f t="shared" ref="Z36:Z44" si="217">ROUNDUP(((Z$45*POWER(0.99,14*(10-$A25))/2)+Z$45/2)/5,0)*5</f>
        <v>45</v>
      </c>
      <c r="AA36" s="1105">
        <f t="shared" ref="AA36:AD36" si="203">ROUND((AA$45*POWER(0.99,14*(10-$A25))/2)+AA$45/2,0)</f>
        <v>7</v>
      </c>
      <c r="AB36" s="1105">
        <f t="shared" si="203"/>
        <v>3</v>
      </c>
      <c r="AC36" s="1105">
        <f t="shared" si="203"/>
        <v>6</v>
      </c>
      <c r="AD36" s="1105">
        <f t="shared" si="203"/>
        <v>6</v>
      </c>
      <c r="AE36" s="1106">
        <f t="shared" ref="AE36:AE44" si="219">AE$45</f>
        <v>3</v>
      </c>
      <c r="AF36" s="1107">
        <f t="shared" ref="AF36:AF44" si="220">ROUNDUP(((AF$45*POWER(0.99,14*(10-$A25))/2)+AF$45/2)/5,0)*5</f>
        <v>45</v>
      </c>
      <c r="AG36" s="1108">
        <f t="shared" ref="AG36:AJ36" si="204">ROUND((AG$45*POWER(0.99,14*(10-$A25))/2)+AG$45/2,0)</f>
        <v>8</v>
      </c>
      <c r="AH36" s="1108">
        <f t="shared" si="204"/>
        <v>6</v>
      </c>
      <c r="AI36" s="1108">
        <f t="shared" si="204"/>
        <v>10</v>
      </c>
      <c r="AJ36" s="1108">
        <f t="shared" si="204"/>
        <v>10</v>
      </c>
      <c r="AK36" s="1109">
        <f t="shared" ref="AK36:AK44" si="222">AK$45</f>
        <v>2</v>
      </c>
    </row>
    <row r="37" ht="19.5" customHeight="1">
      <c r="A37" s="1006">
        <v>2.0</v>
      </c>
      <c r="B37" s="1092">
        <f t="shared" si="205"/>
        <v>45</v>
      </c>
      <c r="C37" s="1093">
        <f t="shared" ref="C37:F37" si="206">ROUND((C$45*POWER(0.99,14*(10-$A15))/2)+C$45/2,0)</f>
        <v>9</v>
      </c>
      <c r="D37" s="1093">
        <f t="shared" si="206"/>
        <v>0</v>
      </c>
      <c r="E37" s="1093">
        <f t="shared" si="206"/>
        <v>10</v>
      </c>
      <c r="F37" s="1093">
        <f t="shared" si="206"/>
        <v>7</v>
      </c>
      <c r="G37" s="1094">
        <f t="shared" si="207"/>
        <v>2</v>
      </c>
      <c r="H37" s="1095">
        <f t="shared" si="208"/>
        <v>45</v>
      </c>
      <c r="I37" s="1096">
        <f t="shared" ref="I37:L37" si="209">ROUND((I$45*POWER(0.99,14*(10-$A15))/2)+I$45/2,0)</f>
        <v>7</v>
      </c>
      <c r="J37" s="1096">
        <f t="shared" si="209"/>
        <v>0</v>
      </c>
      <c r="K37" s="1096">
        <f t="shared" si="209"/>
        <v>8</v>
      </c>
      <c r="L37" s="1096">
        <f t="shared" si="209"/>
        <v>8</v>
      </c>
      <c r="M37" s="1097">
        <f t="shared" si="210"/>
        <v>3</v>
      </c>
      <c r="N37" s="1098">
        <f t="shared" si="211"/>
        <v>40</v>
      </c>
      <c r="O37" s="1099">
        <f t="shared" ref="O37:R37" si="212">ROUND((O$45*POWER(0.99,14*(10-$A15))/2)+O$45/2,0)</f>
        <v>7</v>
      </c>
      <c r="P37" s="1099">
        <f t="shared" si="212"/>
        <v>6</v>
      </c>
      <c r="Q37" s="1099">
        <f t="shared" si="212"/>
        <v>9</v>
      </c>
      <c r="R37" s="1099">
        <f t="shared" si="212"/>
        <v>7</v>
      </c>
      <c r="S37" s="1100">
        <f t="shared" si="213"/>
        <v>2</v>
      </c>
      <c r="T37" s="1101">
        <f t="shared" si="214"/>
        <v>45</v>
      </c>
      <c r="U37" s="1102">
        <f t="shared" ref="U37:X37" si="215">ROUND((U$45*POWER(0.99,14*(10-$A26))/2)+U$45/2,0)</f>
        <v>8</v>
      </c>
      <c r="V37" s="1102">
        <f t="shared" si="215"/>
        <v>3</v>
      </c>
      <c r="W37" s="1102">
        <f t="shared" si="215"/>
        <v>9</v>
      </c>
      <c r="X37" s="1102">
        <f t="shared" si="215"/>
        <v>9</v>
      </c>
      <c r="Y37" s="1103">
        <f t="shared" si="216"/>
        <v>2</v>
      </c>
      <c r="Z37" s="1104">
        <f t="shared" si="217"/>
        <v>45</v>
      </c>
      <c r="AA37" s="1105">
        <f t="shared" ref="AA37:AD37" si="218">ROUND((AA$45*POWER(0.99,14*(10-$A26))/2)+AA$45/2,0)</f>
        <v>7</v>
      </c>
      <c r="AB37" s="1105">
        <f t="shared" si="218"/>
        <v>3</v>
      </c>
      <c r="AC37" s="1105">
        <f t="shared" si="218"/>
        <v>6</v>
      </c>
      <c r="AD37" s="1105">
        <f t="shared" si="218"/>
        <v>6</v>
      </c>
      <c r="AE37" s="1106">
        <f t="shared" si="219"/>
        <v>3</v>
      </c>
      <c r="AF37" s="1107">
        <f t="shared" si="220"/>
        <v>50</v>
      </c>
      <c r="AG37" s="1108">
        <f t="shared" ref="AG37:AJ37" si="221">ROUND((AG$45*POWER(0.99,14*(10-$A26))/2)+AG$45/2,0)</f>
        <v>8</v>
      </c>
      <c r="AH37" s="1108">
        <f t="shared" si="221"/>
        <v>6</v>
      </c>
      <c r="AI37" s="1108">
        <f t="shared" si="221"/>
        <v>10</v>
      </c>
      <c r="AJ37" s="1108">
        <f t="shared" si="221"/>
        <v>10</v>
      </c>
      <c r="AK37" s="1109">
        <f t="shared" si="222"/>
        <v>2</v>
      </c>
    </row>
    <row r="38" ht="19.5" customHeight="1">
      <c r="A38" s="1006">
        <v>3.0</v>
      </c>
      <c r="B38" s="1092">
        <f t="shared" si="205"/>
        <v>45</v>
      </c>
      <c r="C38" s="1093">
        <f t="shared" ref="C38:F38" si="223">ROUND((C$45*POWER(0.99,14*(10-$A16))/2)+C$45/2,0)</f>
        <v>10</v>
      </c>
      <c r="D38" s="1093">
        <f t="shared" si="223"/>
        <v>0</v>
      </c>
      <c r="E38" s="1093">
        <f t="shared" si="223"/>
        <v>10</v>
      </c>
      <c r="F38" s="1093">
        <f t="shared" si="223"/>
        <v>7</v>
      </c>
      <c r="G38" s="1094">
        <f t="shared" si="207"/>
        <v>2</v>
      </c>
      <c r="H38" s="1095">
        <f t="shared" si="208"/>
        <v>45</v>
      </c>
      <c r="I38" s="1096">
        <f t="shared" ref="I38:L38" si="224">ROUND((I$45*POWER(0.99,14*(10-$A16))/2)+I$45/2,0)</f>
        <v>7</v>
      </c>
      <c r="J38" s="1096">
        <f t="shared" si="224"/>
        <v>0</v>
      </c>
      <c r="K38" s="1096">
        <f t="shared" si="224"/>
        <v>8</v>
      </c>
      <c r="L38" s="1096">
        <f t="shared" si="224"/>
        <v>8</v>
      </c>
      <c r="M38" s="1097">
        <f t="shared" si="210"/>
        <v>3</v>
      </c>
      <c r="N38" s="1098">
        <f t="shared" si="211"/>
        <v>45</v>
      </c>
      <c r="O38" s="1099">
        <f t="shared" ref="O38:R38" si="225">ROUND((O$45*POWER(0.99,14*(10-$A16))/2)+O$45/2,0)</f>
        <v>7</v>
      </c>
      <c r="P38" s="1099">
        <f t="shared" si="225"/>
        <v>6</v>
      </c>
      <c r="Q38" s="1099">
        <f t="shared" si="225"/>
        <v>9</v>
      </c>
      <c r="R38" s="1099">
        <f t="shared" si="225"/>
        <v>8</v>
      </c>
      <c r="S38" s="1100">
        <f t="shared" si="213"/>
        <v>2</v>
      </c>
      <c r="T38" s="1101">
        <f t="shared" si="214"/>
        <v>45</v>
      </c>
      <c r="U38" s="1102">
        <f t="shared" ref="U38:X38" si="226">ROUND((U$45*POWER(0.99,14*(10-$A27))/2)+U$45/2,0)</f>
        <v>8</v>
      </c>
      <c r="V38" s="1102">
        <f t="shared" si="226"/>
        <v>3</v>
      </c>
      <c r="W38" s="1102">
        <f t="shared" si="226"/>
        <v>10</v>
      </c>
      <c r="X38" s="1102">
        <f t="shared" si="226"/>
        <v>10</v>
      </c>
      <c r="Y38" s="1103">
        <f t="shared" si="216"/>
        <v>2</v>
      </c>
      <c r="Z38" s="1104">
        <f t="shared" si="217"/>
        <v>45</v>
      </c>
      <c r="AA38" s="1105">
        <f t="shared" ref="AA38:AD38" si="227">ROUND((AA$45*POWER(0.99,14*(10-$A27))/2)+AA$45/2,0)</f>
        <v>8</v>
      </c>
      <c r="AB38" s="1105">
        <f t="shared" si="227"/>
        <v>3</v>
      </c>
      <c r="AC38" s="1105">
        <f t="shared" si="227"/>
        <v>6</v>
      </c>
      <c r="AD38" s="1105">
        <f t="shared" si="227"/>
        <v>6</v>
      </c>
      <c r="AE38" s="1106">
        <f t="shared" si="219"/>
        <v>3</v>
      </c>
      <c r="AF38" s="1107">
        <f t="shared" si="220"/>
        <v>50</v>
      </c>
      <c r="AG38" s="1108">
        <f t="shared" ref="AG38:AJ38" si="228">ROUND((AG$45*POWER(0.99,14*(10-$A27))/2)+AG$45/2,0)</f>
        <v>8</v>
      </c>
      <c r="AH38" s="1108">
        <f t="shared" si="228"/>
        <v>6</v>
      </c>
      <c r="AI38" s="1108">
        <f t="shared" si="228"/>
        <v>10</v>
      </c>
      <c r="AJ38" s="1108">
        <f t="shared" si="228"/>
        <v>10</v>
      </c>
      <c r="AK38" s="1109">
        <f t="shared" si="222"/>
        <v>2</v>
      </c>
    </row>
    <row r="39" ht="19.5" customHeight="1">
      <c r="A39" s="1006">
        <v>4.0</v>
      </c>
      <c r="B39" s="1092">
        <f t="shared" si="205"/>
        <v>50</v>
      </c>
      <c r="C39" s="1093">
        <f t="shared" ref="C39:F39" si="229">ROUND((C$45*POWER(0.99,14*(10-$A17))/2)+C$45/2,0)</f>
        <v>10</v>
      </c>
      <c r="D39" s="1093">
        <f t="shared" si="229"/>
        <v>0</v>
      </c>
      <c r="E39" s="1093">
        <f t="shared" si="229"/>
        <v>11</v>
      </c>
      <c r="F39" s="1093">
        <f t="shared" si="229"/>
        <v>7</v>
      </c>
      <c r="G39" s="1094">
        <f t="shared" si="207"/>
        <v>2</v>
      </c>
      <c r="H39" s="1095">
        <f t="shared" si="208"/>
        <v>50</v>
      </c>
      <c r="I39" s="1096">
        <f t="shared" ref="I39:L39" si="230">ROUND((I$45*POWER(0.99,14*(10-$A17))/2)+I$45/2,0)</f>
        <v>7</v>
      </c>
      <c r="J39" s="1096">
        <f t="shared" si="230"/>
        <v>0</v>
      </c>
      <c r="K39" s="1096">
        <f t="shared" si="230"/>
        <v>9</v>
      </c>
      <c r="L39" s="1096">
        <f t="shared" si="230"/>
        <v>9</v>
      </c>
      <c r="M39" s="1097">
        <f t="shared" si="210"/>
        <v>3</v>
      </c>
      <c r="N39" s="1098">
        <f t="shared" si="211"/>
        <v>45</v>
      </c>
      <c r="O39" s="1099">
        <f t="shared" ref="O39:R39" si="231">ROUND((O$45*POWER(0.99,14*(10-$A17))/2)+O$45/2,0)</f>
        <v>7</v>
      </c>
      <c r="P39" s="1099">
        <f t="shared" si="231"/>
        <v>6</v>
      </c>
      <c r="Q39" s="1099">
        <f t="shared" si="231"/>
        <v>9</v>
      </c>
      <c r="R39" s="1099">
        <f t="shared" si="231"/>
        <v>8</v>
      </c>
      <c r="S39" s="1100">
        <f t="shared" si="213"/>
        <v>2</v>
      </c>
      <c r="T39" s="1101">
        <f t="shared" si="214"/>
        <v>50</v>
      </c>
      <c r="U39" s="1102">
        <f t="shared" ref="U39:X39" si="232">ROUND((U$45*POWER(0.99,14*(10-$A28))/2)+U$45/2,0)</f>
        <v>9</v>
      </c>
      <c r="V39" s="1102">
        <f t="shared" si="232"/>
        <v>4</v>
      </c>
      <c r="W39" s="1102">
        <f t="shared" si="232"/>
        <v>10</v>
      </c>
      <c r="X39" s="1102">
        <f t="shared" si="232"/>
        <v>10</v>
      </c>
      <c r="Y39" s="1103">
        <f t="shared" si="216"/>
        <v>2</v>
      </c>
      <c r="Z39" s="1104">
        <f t="shared" si="217"/>
        <v>50</v>
      </c>
      <c r="AA39" s="1105">
        <f t="shared" ref="AA39:AD39" si="233">ROUND((AA$45*POWER(0.99,14*(10-$A28))/2)+AA$45/2,0)</f>
        <v>8</v>
      </c>
      <c r="AB39" s="1105">
        <f t="shared" si="233"/>
        <v>3</v>
      </c>
      <c r="AC39" s="1105">
        <f t="shared" si="233"/>
        <v>6</v>
      </c>
      <c r="AD39" s="1105">
        <f t="shared" si="233"/>
        <v>6</v>
      </c>
      <c r="AE39" s="1106">
        <f t="shared" si="219"/>
        <v>3</v>
      </c>
      <c r="AF39" s="1107">
        <f t="shared" si="220"/>
        <v>55</v>
      </c>
      <c r="AG39" s="1108">
        <f t="shared" ref="AG39:AJ39" si="234">ROUND((AG$45*POWER(0.99,14*(10-$A28))/2)+AG$45/2,0)</f>
        <v>9</v>
      </c>
      <c r="AH39" s="1108">
        <f t="shared" si="234"/>
        <v>6</v>
      </c>
      <c r="AI39" s="1108">
        <f t="shared" si="234"/>
        <v>11</v>
      </c>
      <c r="AJ39" s="1108">
        <f t="shared" si="234"/>
        <v>11</v>
      </c>
      <c r="AK39" s="1109">
        <f t="shared" si="222"/>
        <v>2</v>
      </c>
    </row>
    <row r="40" ht="19.5" customHeight="1">
      <c r="A40" s="1006">
        <v>5.0</v>
      </c>
      <c r="B40" s="1092">
        <f t="shared" si="205"/>
        <v>50</v>
      </c>
      <c r="C40" s="1093">
        <f t="shared" ref="C40:F40" si="235">ROUND((C$45*POWER(0.99,14*(10-$A18))/2)+C$45/2,0)</f>
        <v>10</v>
      </c>
      <c r="D40" s="1093">
        <f t="shared" si="235"/>
        <v>0</v>
      </c>
      <c r="E40" s="1093">
        <f t="shared" si="235"/>
        <v>11</v>
      </c>
      <c r="F40" s="1093">
        <f t="shared" si="235"/>
        <v>7</v>
      </c>
      <c r="G40" s="1094">
        <f t="shared" si="207"/>
        <v>2</v>
      </c>
      <c r="H40" s="1095">
        <f t="shared" si="208"/>
        <v>50</v>
      </c>
      <c r="I40" s="1096">
        <f t="shared" ref="I40:L40" si="236">ROUND((I$45*POWER(0.99,14*(10-$A18))/2)+I$45/2,0)</f>
        <v>7</v>
      </c>
      <c r="J40" s="1096">
        <f t="shared" si="236"/>
        <v>0</v>
      </c>
      <c r="K40" s="1096">
        <f t="shared" si="236"/>
        <v>9</v>
      </c>
      <c r="L40" s="1096">
        <f t="shared" si="236"/>
        <v>9</v>
      </c>
      <c r="M40" s="1097">
        <f t="shared" si="210"/>
        <v>3</v>
      </c>
      <c r="N40" s="1098">
        <f t="shared" si="211"/>
        <v>45</v>
      </c>
      <c r="O40" s="1099">
        <f t="shared" ref="O40:R40" si="237">ROUND((O$45*POWER(0.99,14*(10-$A18))/2)+O$45/2,0)</f>
        <v>7</v>
      </c>
      <c r="P40" s="1099">
        <f t="shared" si="237"/>
        <v>7</v>
      </c>
      <c r="Q40" s="1099">
        <f t="shared" si="237"/>
        <v>10</v>
      </c>
      <c r="R40" s="1099">
        <f t="shared" si="237"/>
        <v>8</v>
      </c>
      <c r="S40" s="1100">
        <f t="shared" si="213"/>
        <v>2</v>
      </c>
      <c r="T40" s="1101">
        <f t="shared" si="214"/>
        <v>50</v>
      </c>
      <c r="U40" s="1102">
        <f t="shared" ref="U40:X40" si="238">ROUND((U$45*POWER(0.99,14*(10-$A29))/2)+U$45/2,0)</f>
        <v>9</v>
      </c>
      <c r="V40" s="1102">
        <f t="shared" si="238"/>
        <v>4</v>
      </c>
      <c r="W40" s="1102">
        <f t="shared" si="238"/>
        <v>10</v>
      </c>
      <c r="X40" s="1102">
        <f t="shared" si="238"/>
        <v>10</v>
      </c>
      <c r="Y40" s="1103">
        <f t="shared" si="216"/>
        <v>2</v>
      </c>
      <c r="Z40" s="1104">
        <f t="shared" si="217"/>
        <v>50</v>
      </c>
      <c r="AA40" s="1105">
        <f t="shared" ref="AA40:AD40" si="239">ROUND((AA$45*POWER(0.99,14*(10-$A29))/2)+AA$45/2,0)</f>
        <v>8</v>
      </c>
      <c r="AB40" s="1105">
        <f t="shared" si="239"/>
        <v>3</v>
      </c>
      <c r="AC40" s="1105">
        <f t="shared" si="239"/>
        <v>7</v>
      </c>
      <c r="AD40" s="1105">
        <f t="shared" si="239"/>
        <v>7</v>
      </c>
      <c r="AE40" s="1106">
        <f t="shared" si="219"/>
        <v>3</v>
      </c>
      <c r="AF40" s="1107">
        <f t="shared" si="220"/>
        <v>55</v>
      </c>
      <c r="AG40" s="1108">
        <f t="shared" ref="AG40:AJ40" si="240">ROUND((AG$45*POWER(0.99,14*(10-$A29))/2)+AG$45/2,0)</f>
        <v>9</v>
      </c>
      <c r="AH40" s="1108">
        <f t="shared" si="240"/>
        <v>7</v>
      </c>
      <c r="AI40" s="1108">
        <f t="shared" si="240"/>
        <v>11</v>
      </c>
      <c r="AJ40" s="1108">
        <f t="shared" si="240"/>
        <v>11</v>
      </c>
      <c r="AK40" s="1109">
        <f t="shared" si="222"/>
        <v>2</v>
      </c>
    </row>
    <row r="41" ht="19.5" customHeight="1">
      <c r="A41" s="1006">
        <v>6.0</v>
      </c>
      <c r="B41" s="1092">
        <f t="shared" si="205"/>
        <v>55</v>
      </c>
      <c r="C41" s="1093">
        <f t="shared" ref="C41:F41" si="241">ROUND((C$45*POWER(0.99,14*(10-$A19))/2)+C$45/2,0)</f>
        <v>11</v>
      </c>
      <c r="D41" s="1093">
        <f t="shared" si="241"/>
        <v>0</v>
      </c>
      <c r="E41" s="1093">
        <f t="shared" si="241"/>
        <v>12</v>
      </c>
      <c r="F41" s="1093">
        <f t="shared" si="241"/>
        <v>8</v>
      </c>
      <c r="G41" s="1094">
        <f t="shared" si="207"/>
        <v>2</v>
      </c>
      <c r="H41" s="1095">
        <f t="shared" si="208"/>
        <v>55</v>
      </c>
      <c r="I41" s="1096">
        <f t="shared" ref="I41:L41" si="242">ROUND((I$45*POWER(0.99,14*(10-$A19))/2)+I$45/2,0)</f>
        <v>8</v>
      </c>
      <c r="J41" s="1096">
        <f t="shared" si="242"/>
        <v>0</v>
      </c>
      <c r="K41" s="1096">
        <f t="shared" si="242"/>
        <v>9</v>
      </c>
      <c r="L41" s="1096">
        <f t="shared" si="242"/>
        <v>9</v>
      </c>
      <c r="M41" s="1097">
        <f t="shared" si="210"/>
        <v>3</v>
      </c>
      <c r="N41" s="1098">
        <f t="shared" si="211"/>
        <v>50</v>
      </c>
      <c r="O41" s="1099">
        <f t="shared" ref="O41:R41" si="243">ROUND((O$45*POWER(0.99,14*(10-$A19))/2)+O$45/2,0)</f>
        <v>8</v>
      </c>
      <c r="P41" s="1099">
        <f t="shared" si="243"/>
        <v>7</v>
      </c>
      <c r="Q41" s="1099">
        <f t="shared" si="243"/>
        <v>10</v>
      </c>
      <c r="R41" s="1099">
        <f t="shared" si="243"/>
        <v>9</v>
      </c>
      <c r="S41" s="1100">
        <f t="shared" si="213"/>
        <v>2</v>
      </c>
      <c r="T41" s="1101">
        <f t="shared" si="214"/>
        <v>55</v>
      </c>
      <c r="U41" s="1102">
        <f t="shared" ref="U41:X41" si="244">ROUND((U$45*POWER(0.99,14*(10-$A30))/2)+U$45/2,0)</f>
        <v>9</v>
      </c>
      <c r="V41" s="1102">
        <f t="shared" si="244"/>
        <v>4</v>
      </c>
      <c r="W41" s="1102">
        <f t="shared" si="244"/>
        <v>11</v>
      </c>
      <c r="X41" s="1102">
        <f t="shared" si="244"/>
        <v>11</v>
      </c>
      <c r="Y41" s="1103">
        <f t="shared" si="216"/>
        <v>2</v>
      </c>
      <c r="Z41" s="1104">
        <f t="shared" si="217"/>
        <v>55</v>
      </c>
      <c r="AA41" s="1105">
        <f t="shared" ref="AA41:AD41" si="245">ROUND((AA$45*POWER(0.99,14*(10-$A30))/2)+AA$45/2,0)</f>
        <v>9</v>
      </c>
      <c r="AB41" s="1105">
        <f t="shared" si="245"/>
        <v>3</v>
      </c>
      <c r="AC41" s="1105">
        <f t="shared" si="245"/>
        <v>7</v>
      </c>
      <c r="AD41" s="1105">
        <f t="shared" si="245"/>
        <v>7</v>
      </c>
      <c r="AE41" s="1106">
        <f t="shared" si="219"/>
        <v>3</v>
      </c>
      <c r="AF41" s="1107">
        <f t="shared" si="220"/>
        <v>55</v>
      </c>
      <c r="AG41" s="1108">
        <f t="shared" ref="AG41:AJ41" si="246">ROUND((AG$45*POWER(0.99,14*(10-$A30))/2)+AG$45/2,0)</f>
        <v>9</v>
      </c>
      <c r="AH41" s="1108">
        <f t="shared" si="246"/>
        <v>7</v>
      </c>
      <c r="AI41" s="1108">
        <f t="shared" si="246"/>
        <v>12</v>
      </c>
      <c r="AJ41" s="1108">
        <f t="shared" si="246"/>
        <v>12</v>
      </c>
      <c r="AK41" s="1109">
        <f t="shared" si="222"/>
        <v>2</v>
      </c>
    </row>
    <row r="42" ht="19.5" customHeight="1">
      <c r="A42" s="1006">
        <v>7.0</v>
      </c>
      <c r="B42" s="1092">
        <f t="shared" si="205"/>
        <v>55</v>
      </c>
      <c r="C42" s="1093">
        <f t="shared" ref="C42:F42" si="247">ROUND((C$45*POWER(0.99,14*(10-$A20))/2)+C$45/2,0)</f>
        <v>12</v>
      </c>
      <c r="D42" s="1093">
        <f t="shared" si="247"/>
        <v>0</v>
      </c>
      <c r="E42" s="1093">
        <f t="shared" si="247"/>
        <v>12</v>
      </c>
      <c r="F42" s="1093">
        <f t="shared" si="247"/>
        <v>8</v>
      </c>
      <c r="G42" s="1094">
        <f t="shared" si="207"/>
        <v>2</v>
      </c>
      <c r="H42" s="1095">
        <f t="shared" si="208"/>
        <v>55</v>
      </c>
      <c r="I42" s="1096">
        <f t="shared" ref="I42:L42" si="248">ROUND((I$45*POWER(0.99,14*(10-$A20))/2)+I$45/2,0)</f>
        <v>8</v>
      </c>
      <c r="J42" s="1096">
        <f t="shared" si="248"/>
        <v>0</v>
      </c>
      <c r="K42" s="1096">
        <f t="shared" si="248"/>
        <v>10</v>
      </c>
      <c r="L42" s="1096">
        <f t="shared" si="248"/>
        <v>10</v>
      </c>
      <c r="M42" s="1097">
        <f t="shared" si="210"/>
        <v>3</v>
      </c>
      <c r="N42" s="1098">
        <f t="shared" si="211"/>
        <v>50</v>
      </c>
      <c r="O42" s="1099">
        <f t="shared" ref="O42:R42" si="249">ROUND((O$45*POWER(0.99,14*(10-$A20))/2)+O$45/2,0)</f>
        <v>8</v>
      </c>
      <c r="P42" s="1099">
        <f t="shared" si="249"/>
        <v>7</v>
      </c>
      <c r="Q42" s="1099">
        <f t="shared" si="249"/>
        <v>11</v>
      </c>
      <c r="R42" s="1099">
        <f t="shared" si="249"/>
        <v>9</v>
      </c>
      <c r="S42" s="1100">
        <f t="shared" si="213"/>
        <v>2</v>
      </c>
      <c r="T42" s="1101">
        <f t="shared" si="214"/>
        <v>55</v>
      </c>
      <c r="U42" s="1102">
        <f t="shared" ref="U42:X42" si="250">ROUND((U$45*POWER(0.99,14*(10-$A31))/2)+U$45/2,0)</f>
        <v>10</v>
      </c>
      <c r="V42" s="1102">
        <f t="shared" si="250"/>
        <v>4</v>
      </c>
      <c r="W42" s="1102">
        <f t="shared" si="250"/>
        <v>12</v>
      </c>
      <c r="X42" s="1102">
        <f t="shared" si="250"/>
        <v>12</v>
      </c>
      <c r="Y42" s="1103">
        <f t="shared" si="216"/>
        <v>2</v>
      </c>
      <c r="Z42" s="1104">
        <f t="shared" si="217"/>
        <v>55</v>
      </c>
      <c r="AA42" s="1105">
        <f t="shared" ref="AA42:AD42" si="251">ROUND((AA$45*POWER(0.99,14*(10-$A31))/2)+AA$45/2,0)</f>
        <v>9</v>
      </c>
      <c r="AB42" s="1105">
        <f t="shared" si="251"/>
        <v>3</v>
      </c>
      <c r="AC42" s="1105">
        <f t="shared" si="251"/>
        <v>7</v>
      </c>
      <c r="AD42" s="1105">
        <f t="shared" si="251"/>
        <v>7</v>
      </c>
      <c r="AE42" s="1106">
        <f t="shared" si="219"/>
        <v>3</v>
      </c>
      <c r="AF42" s="1107">
        <f t="shared" si="220"/>
        <v>60</v>
      </c>
      <c r="AG42" s="1108">
        <f t="shared" ref="AG42:AJ42" si="252">ROUND((AG$45*POWER(0.99,14*(10-$A31))/2)+AG$45/2,0)</f>
        <v>10</v>
      </c>
      <c r="AH42" s="1108">
        <f t="shared" si="252"/>
        <v>7</v>
      </c>
      <c r="AI42" s="1108">
        <f t="shared" si="252"/>
        <v>12</v>
      </c>
      <c r="AJ42" s="1108">
        <f t="shared" si="252"/>
        <v>12</v>
      </c>
      <c r="AK42" s="1109">
        <f t="shared" si="222"/>
        <v>2</v>
      </c>
    </row>
    <row r="43" ht="19.5" customHeight="1">
      <c r="A43" s="1006">
        <v>8.0</v>
      </c>
      <c r="B43" s="1092">
        <f t="shared" si="205"/>
        <v>60</v>
      </c>
      <c r="C43" s="1093">
        <f t="shared" ref="C43:F43" si="253">ROUND((C$45*POWER(0.99,14*(10-$A21))/2)+C$45/2,0)</f>
        <v>12</v>
      </c>
      <c r="D43" s="1093">
        <f t="shared" si="253"/>
        <v>0</v>
      </c>
      <c r="E43" s="1093">
        <f t="shared" si="253"/>
        <v>13</v>
      </c>
      <c r="F43" s="1093">
        <f t="shared" si="253"/>
        <v>9</v>
      </c>
      <c r="G43" s="1094">
        <f t="shared" si="207"/>
        <v>2</v>
      </c>
      <c r="H43" s="1095">
        <f t="shared" si="208"/>
        <v>60</v>
      </c>
      <c r="I43" s="1096">
        <f t="shared" ref="I43:L43" si="254">ROUND((I$45*POWER(0.99,14*(10-$A21))/2)+I$45/2,0)</f>
        <v>9</v>
      </c>
      <c r="J43" s="1096">
        <f t="shared" si="254"/>
        <v>0</v>
      </c>
      <c r="K43" s="1096">
        <f t="shared" si="254"/>
        <v>11</v>
      </c>
      <c r="L43" s="1096">
        <f t="shared" si="254"/>
        <v>11</v>
      </c>
      <c r="M43" s="1097">
        <f t="shared" si="210"/>
        <v>3</v>
      </c>
      <c r="N43" s="1098">
        <f t="shared" si="211"/>
        <v>55</v>
      </c>
      <c r="O43" s="1099">
        <f t="shared" ref="O43:R43" si="255">ROUND((O$45*POWER(0.99,14*(10-$A21))/2)+O$45/2,0)</f>
        <v>9</v>
      </c>
      <c r="P43" s="1099">
        <f t="shared" si="255"/>
        <v>8</v>
      </c>
      <c r="Q43" s="1099">
        <f t="shared" si="255"/>
        <v>11</v>
      </c>
      <c r="R43" s="1099">
        <f t="shared" si="255"/>
        <v>10</v>
      </c>
      <c r="S43" s="1100">
        <f t="shared" si="213"/>
        <v>2</v>
      </c>
      <c r="T43" s="1101">
        <f t="shared" si="214"/>
        <v>60</v>
      </c>
      <c r="U43" s="1102">
        <f t="shared" ref="U43:X43" si="256">ROUND((U$45*POWER(0.99,14*(10-$A32))/2)+U$45/2,0)</f>
        <v>11</v>
      </c>
      <c r="V43" s="1102">
        <f t="shared" si="256"/>
        <v>4</v>
      </c>
      <c r="W43" s="1102">
        <f t="shared" si="256"/>
        <v>12</v>
      </c>
      <c r="X43" s="1102">
        <f t="shared" si="256"/>
        <v>12</v>
      </c>
      <c r="Y43" s="1103">
        <f t="shared" si="216"/>
        <v>2</v>
      </c>
      <c r="Z43" s="1104">
        <f t="shared" si="217"/>
        <v>60</v>
      </c>
      <c r="AA43" s="1105">
        <f t="shared" ref="AA43:AD43" si="257">ROUND((AA$45*POWER(0.99,14*(10-$A32))/2)+AA$45/2,0)</f>
        <v>10</v>
      </c>
      <c r="AB43" s="1105">
        <f t="shared" si="257"/>
        <v>4</v>
      </c>
      <c r="AC43" s="1105">
        <f t="shared" si="257"/>
        <v>8</v>
      </c>
      <c r="AD43" s="1105">
        <f t="shared" si="257"/>
        <v>8</v>
      </c>
      <c r="AE43" s="1106">
        <f t="shared" si="219"/>
        <v>3</v>
      </c>
      <c r="AF43" s="1107">
        <f t="shared" si="220"/>
        <v>65</v>
      </c>
      <c r="AG43" s="1108">
        <f t="shared" ref="AG43:AJ43" si="258">ROUND((AG$45*POWER(0.99,14*(10-$A32))/2)+AG$45/2,0)</f>
        <v>11</v>
      </c>
      <c r="AH43" s="1108">
        <f t="shared" si="258"/>
        <v>8</v>
      </c>
      <c r="AI43" s="1108">
        <f t="shared" si="258"/>
        <v>13</v>
      </c>
      <c r="AJ43" s="1108">
        <f t="shared" si="258"/>
        <v>13</v>
      </c>
      <c r="AK43" s="1109">
        <f t="shared" si="222"/>
        <v>2</v>
      </c>
    </row>
    <row r="44" ht="19.5" customHeight="1">
      <c r="A44" s="1006">
        <v>9.0</v>
      </c>
      <c r="B44" s="1092">
        <f t="shared" si="205"/>
        <v>65</v>
      </c>
      <c r="C44" s="1093">
        <f t="shared" ref="C44:F44" si="259">ROUND((C$45*POWER(0.99,14*(10-$A22))/2)+C$45/2,0)</f>
        <v>13</v>
      </c>
      <c r="D44" s="1093">
        <f t="shared" si="259"/>
        <v>0</v>
      </c>
      <c r="E44" s="1093">
        <f t="shared" si="259"/>
        <v>14</v>
      </c>
      <c r="F44" s="1093">
        <f t="shared" si="259"/>
        <v>9</v>
      </c>
      <c r="G44" s="1094">
        <f t="shared" si="207"/>
        <v>2</v>
      </c>
      <c r="H44" s="1095">
        <f t="shared" si="208"/>
        <v>65</v>
      </c>
      <c r="I44" s="1096">
        <f t="shared" ref="I44:L44" si="260">ROUND((I$45*POWER(0.99,14*(10-$A22))/2)+I$45/2,0)</f>
        <v>9</v>
      </c>
      <c r="J44" s="1096">
        <f t="shared" si="260"/>
        <v>0</v>
      </c>
      <c r="K44" s="1096">
        <f t="shared" si="260"/>
        <v>11</v>
      </c>
      <c r="L44" s="1096">
        <f t="shared" si="260"/>
        <v>11</v>
      </c>
      <c r="M44" s="1097">
        <f t="shared" si="210"/>
        <v>3</v>
      </c>
      <c r="N44" s="1098">
        <f t="shared" si="211"/>
        <v>60</v>
      </c>
      <c r="O44" s="1099">
        <f t="shared" ref="O44:R44" si="261">ROUND((O$45*POWER(0.99,14*(10-$A22))/2)+O$45/2,0)</f>
        <v>9</v>
      </c>
      <c r="P44" s="1099">
        <f t="shared" si="261"/>
        <v>8</v>
      </c>
      <c r="Q44" s="1099">
        <f t="shared" si="261"/>
        <v>12</v>
      </c>
      <c r="R44" s="1099">
        <f t="shared" si="261"/>
        <v>10</v>
      </c>
      <c r="S44" s="1100">
        <f t="shared" si="213"/>
        <v>2</v>
      </c>
      <c r="T44" s="1101">
        <f t="shared" si="214"/>
        <v>65</v>
      </c>
      <c r="U44" s="1102">
        <f t="shared" ref="U44:X44" si="262">ROUND((U$45*POWER(0.99,14*(10-$A33))/2)+U$45/2,0)</f>
        <v>11</v>
      </c>
      <c r="V44" s="1102">
        <f t="shared" si="262"/>
        <v>5</v>
      </c>
      <c r="W44" s="1102">
        <f t="shared" si="262"/>
        <v>13</v>
      </c>
      <c r="X44" s="1102">
        <f t="shared" si="262"/>
        <v>13</v>
      </c>
      <c r="Y44" s="1103">
        <f t="shared" si="216"/>
        <v>2</v>
      </c>
      <c r="Z44" s="1104">
        <f t="shared" si="217"/>
        <v>65</v>
      </c>
      <c r="AA44" s="1105">
        <f t="shared" ref="AA44:AD44" si="263">ROUND((AA$45*POWER(0.99,14*(10-$A33))/2)+AA$45/2,0)</f>
        <v>10</v>
      </c>
      <c r="AB44" s="1105">
        <f t="shared" si="263"/>
        <v>4</v>
      </c>
      <c r="AC44" s="1105">
        <f t="shared" si="263"/>
        <v>8</v>
      </c>
      <c r="AD44" s="1105">
        <f t="shared" si="263"/>
        <v>8</v>
      </c>
      <c r="AE44" s="1106">
        <f t="shared" si="219"/>
        <v>3</v>
      </c>
      <c r="AF44" s="1107">
        <f t="shared" si="220"/>
        <v>70</v>
      </c>
      <c r="AG44" s="1108">
        <f t="shared" ref="AG44:AJ44" si="264">ROUND((AG$45*POWER(0.99,14*(10-$A33))/2)+AG$45/2,0)</f>
        <v>11</v>
      </c>
      <c r="AH44" s="1108">
        <f t="shared" si="264"/>
        <v>8</v>
      </c>
      <c r="AI44" s="1108">
        <f t="shared" si="264"/>
        <v>14</v>
      </c>
      <c r="AJ44" s="1108">
        <f t="shared" si="264"/>
        <v>14</v>
      </c>
      <c r="AK44" s="1109">
        <f t="shared" si="222"/>
        <v>2</v>
      </c>
    </row>
    <row r="45" ht="19.5" customHeight="1">
      <c r="A45" s="1022">
        <v>10.0</v>
      </c>
      <c r="B45" s="1110">
        <v>65.0</v>
      </c>
      <c r="C45" s="1111">
        <v>14.0</v>
      </c>
      <c r="D45" s="1111">
        <v>0.0</v>
      </c>
      <c r="E45" s="1111">
        <v>15.0</v>
      </c>
      <c r="F45" s="1111">
        <v>10.0</v>
      </c>
      <c r="G45" s="1112">
        <v>2.0</v>
      </c>
      <c r="H45" s="1113">
        <v>65.0</v>
      </c>
      <c r="I45" s="1114">
        <v>10.0</v>
      </c>
      <c r="J45" s="1114">
        <v>0.0</v>
      </c>
      <c r="K45" s="1114">
        <v>12.0</v>
      </c>
      <c r="L45" s="1114">
        <v>12.0</v>
      </c>
      <c r="M45" s="1115">
        <v>3.0</v>
      </c>
      <c r="N45" s="1116">
        <v>60.0</v>
      </c>
      <c r="O45" s="1117">
        <v>10.0</v>
      </c>
      <c r="P45" s="1117">
        <v>9.0</v>
      </c>
      <c r="Q45" s="1117">
        <v>13.0</v>
      </c>
      <c r="R45" s="1117">
        <v>11.0</v>
      </c>
      <c r="S45" s="1118">
        <v>2.0</v>
      </c>
      <c r="T45" s="1119">
        <v>65.0</v>
      </c>
      <c r="U45" s="1120">
        <v>12.0</v>
      </c>
      <c r="V45" s="1120">
        <v>5.0</v>
      </c>
      <c r="W45" s="1120">
        <v>14.0</v>
      </c>
      <c r="X45" s="1120">
        <v>14.0</v>
      </c>
      <c r="Y45" s="1121">
        <v>2.0</v>
      </c>
      <c r="Z45" s="1122">
        <v>65.0</v>
      </c>
      <c r="AA45" s="1123">
        <v>11.0</v>
      </c>
      <c r="AB45" s="1123">
        <v>4.0</v>
      </c>
      <c r="AC45" s="1123">
        <v>9.0</v>
      </c>
      <c r="AD45" s="1123">
        <v>9.0</v>
      </c>
      <c r="AE45" s="1124">
        <v>3.0</v>
      </c>
      <c r="AF45" s="1125">
        <v>70.0</v>
      </c>
      <c r="AG45" s="1126">
        <v>12.0</v>
      </c>
      <c r="AH45" s="1126">
        <v>9.0</v>
      </c>
      <c r="AI45" s="1126">
        <v>15.0</v>
      </c>
      <c r="AJ45" s="1126">
        <v>15.0</v>
      </c>
      <c r="AK45" s="1127">
        <v>2.0</v>
      </c>
    </row>
    <row r="46" ht="28.5" customHeight="1">
      <c r="A46" s="1041" t="s">
        <v>1506</v>
      </c>
      <c r="B46" s="1128" t="s">
        <v>127</v>
      </c>
      <c r="C46" s="1043"/>
      <c r="D46" s="1043"/>
      <c r="E46" s="1043"/>
      <c r="F46" s="1043"/>
      <c r="G46" s="1044"/>
      <c r="H46" s="1129" t="s">
        <v>39</v>
      </c>
      <c r="I46" s="1043"/>
      <c r="J46" s="1043"/>
      <c r="K46" s="1043"/>
      <c r="L46" s="1043"/>
      <c r="M46" s="1044"/>
      <c r="N46" s="1130" t="s">
        <v>1270</v>
      </c>
      <c r="O46" s="1043"/>
      <c r="P46" s="1043"/>
      <c r="Q46" s="1043"/>
      <c r="R46" s="1043"/>
      <c r="S46" s="1044"/>
      <c r="T46" s="1131" t="s">
        <v>1133</v>
      </c>
      <c r="U46" s="1043"/>
      <c r="V46" s="1043"/>
      <c r="W46" s="1043"/>
      <c r="X46" s="1043"/>
      <c r="Y46" s="1044"/>
      <c r="Z46" s="1132" t="s">
        <v>1253</v>
      </c>
      <c r="AA46" s="1043"/>
      <c r="AB46" s="1043"/>
      <c r="AC46" s="1043"/>
      <c r="AD46" s="1043"/>
      <c r="AE46" s="1044"/>
      <c r="AF46" s="1133" t="s">
        <v>1367</v>
      </c>
      <c r="AG46" s="1043"/>
      <c r="AH46" s="1043"/>
      <c r="AI46" s="1043"/>
      <c r="AJ46" s="1043"/>
      <c r="AK46" s="1044"/>
    </row>
    <row r="47" ht="19.5" customHeight="1">
      <c r="A47" s="1006">
        <v>1.0</v>
      </c>
      <c r="B47" s="1134">
        <f t="shared" ref="B47:B55" si="271">ROUNDUP(((B$56*POWER(0.99,14*(10-$A14))/2)+B$56/2)/5,0)*5</f>
        <v>40</v>
      </c>
      <c r="C47" s="1135">
        <f t="shared" ref="C47:F47" si="265">ROUND((C$56*POWER(0.99,14*(10-$A14))/2)+C$56/2,0)</f>
        <v>12</v>
      </c>
      <c r="D47" s="1135">
        <f t="shared" si="265"/>
        <v>4</v>
      </c>
      <c r="E47" s="1135">
        <f t="shared" si="265"/>
        <v>7</v>
      </c>
      <c r="F47" s="1135">
        <f t="shared" si="265"/>
        <v>7</v>
      </c>
      <c r="G47" s="1136">
        <f t="shared" ref="G47:G55" si="273">G$56</f>
        <v>1</v>
      </c>
      <c r="H47" s="1137">
        <f t="shared" ref="H47:H55" si="274">ROUNDUP(((H$56*POWER(0.99,14*(10-$A14))/2)+H$56/2)/5,0)*5</f>
        <v>45</v>
      </c>
      <c r="I47" s="1138">
        <f t="shared" ref="I47:L47" si="266">ROUND((I$56*POWER(0.99,14*(10-$A14))/2)+I$56/2,0)</f>
        <v>10</v>
      </c>
      <c r="J47" s="1138">
        <f t="shared" si="266"/>
        <v>4</v>
      </c>
      <c r="K47" s="1138">
        <f t="shared" si="266"/>
        <v>12</v>
      </c>
      <c r="L47" s="1138">
        <f t="shared" si="266"/>
        <v>5</v>
      </c>
      <c r="M47" s="1139">
        <f t="shared" ref="M47:M55" si="276">M$56</f>
        <v>1</v>
      </c>
      <c r="N47" s="1140">
        <f t="shared" ref="N47:N55" si="277">ROUNDUP(((N$56*POWER(0.99,14*(10-$A14))/2)+N$56/2)/5,0)*5</f>
        <v>45</v>
      </c>
      <c r="O47" s="1141">
        <f t="shared" ref="O47:R47" si="267">ROUND((O$56*POWER(0.99,14*(10-$A14))/2)+O$56/2,0)</f>
        <v>8</v>
      </c>
      <c r="P47" s="1141">
        <f t="shared" si="267"/>
        <v>5</v>
      </c>
      <c r="Q47" s="1141">
        <f t="shared" si="267"/>
        <v>11</v>
      </c>
      <c r="R47" s="1141">
        <f t="shared" si="267"/>
        <v>6</v>
      </c>
      <c r="S47" s="1142">
        <f t="shared" ref="S47:S55" si="279">S$56</f>
        <v>2</v>
      </c>
      <c r="T47" s="1143">
        <f t="shared" ref="T47:T55" si="280">ROUNDUP(((T$56*POWER(0.99,14*(10-$A47))/2)+T$56/2)/5,0)*5</f>
        <v>45</v>
      </c>
      <c r="U47" s="1144">
        <f t="shared" ref="U47:X47" si="268">ROUND((U$56*POWER(0.99,14*(10-$A47))/2)+U$56/2,0)</f>
        <v>8</v>
      </c>
      <c r="V47" s="1144">
        <f t="shared" si="268"/>
        <v>3</v>
      </c>
      <c r="W47" s="1144">
        <f t="shared" si="268"/>
        <v>9</v>
      </c>
      <c r="X47" s="1144">
        <f t="shared" si="268"/>
        <v>9</v>
      </c>
      <c r="Y47" s="1145">
        <f t="shared" ref="Y47:Y55" si="282">Y$56</f>
        <v>2</v>
      </c>
      <c r="Z47" s="1146">
        <f t="shared" ref="Z47:Z55" si="283">ROUNDUP(((Z$56*POWER(0.99,14*(10-$A47))/2)+Z$56/2)/5,0)*5</f>
        <v>45</v>
      </c>
      <c r="AA47" s="1147">
        <f t="shared" ref="AA47:AD47" si="269">ROUND((AA$56*POWER(0.99,14*(10-$A47))/2)+AA$56/2,0)</f>
        <v>4</v>
      </c>
      <c r="AB47" s="1147">
        <f t="shared" si="269"/>
        <v>6</v>
      </c>
      <c r="AC47" s="1147">
        <f t="shared" si="269"/>
        <v>6</v>
      </c>
      <c r="AD47" s="1147">
        <f t="shared" si="269"/>
        <v>10</v>
      </c>
      <c r="AE47" s="1148">
        <f t="shared" ref="AE47:AE55" si="285">AE$56</f>
        <v>2</v>
      </c>
      <c r="AF47" s="1149">
        <f t="shared" ref="AF47:AF55" si="286">ROUNDUP(((AF$56*POWER(0.99,14*(10-$A47))/2)+AF$56/2)/5,0)*5</f>
        <v>45</v>
      </c>
      <c r="AG47" s="1150">
        <f t="shared" ref="AG47:AJ47" si="270">ROUND((AG$56*POWER(0.99,14*(10-$A47))/2)+AG$56/2,0)</f>
        <v>4</v>
      </c>
      <c r="AH47" s="1150">
        <f t="shared" si="270"/>
        <v>7</v>
      </c>
      <c r="AI47" s="1150">
        <f t="shared" si="270"/>
        <v>10</v>
      </c>
      <c r="AJ47" s="1150">
        <f t="shared" si="270"/>
        <v>10</v>
      </c>
      <c r="AK47" s="1151">
        <f t="shared" ref="AK47:AK55" si="288">AK$56</f>
        <v>2</v>
      </c>
    </row>
    <row r="48" ht="19.5" customHeight="1">
      <c r="A48" s="1006">
        <v>2.0</v>
      </c>
      <c r="B48" s="1134">
        <f t="shared" si="271"/>
        <v>40</v>
      </c>
      <c r="C48" s="1135">
        <f t="shared" ref="C48:F48" si="272">ROUND((C$56*POWER(0.99,14*(10-$A15))/2)+C$56/2,0)</f>
        <v>13</v>
      </c>
      <c r="D48" s="1135">
        <f t="shared" si="272"/>
        <v>5</v>
      </c>
      <c r="E48" s="1135">
        <f t="shared" si="272"/>
        <v>7</v>
      </c>
      <c r="F48" s="1135">
        <f t="shared" si="272"/>
        <v>7</v>
      </c>
      <c r="G48" s="1136">
        <f t="shared" si="273"/>
        <v>1</v>
      </c>
      <c r="H48" s="1137">
        <f t="shared" si="274"/>
        <v>50</v>
      </c>
      <c r="I48" s="1138">
        <f t="shared" ref="I48:L48" si="275">ROUND((I$56*POWER(0.99,14*(10-$A15))/2)+I$56/2,0)</f>
        <v>10</v>
      </c>
      <c r="J48" s="1138">
        <f t="shared" si="275"/>
        <v>5</v>
      </c>
      <c r="K48" s="1138">
        <f t="shared" si="275"/>
        <v>13</v>
      </c>
      <c r="L48" s="1138">
        <f t="shared" si="275"/>
        <v>5</v>
      </c>
      <c r="M48" s="1139">
        <f t="shared" si="276"/>
        <v>1</v>
      </c>
      <c r="N48" s="1140">
        <f t="shared" si="277"/>
        <v>45</v>
      </c>
      <c r="O48" s="1141">
        <f t="shared" ref="O48:R48" si="278">ROUND((O$56*POWER(0.99,14*(10-$A15))/2)+O$56/2,0)</f>
        <v>9</v>
      </c>
      <c r="P48" s="1141">
        <f t="shared" si="278"/>
        <v>5</v>
      </c>
      <c r="Q48" s="1141">
        <f t="shared" si="278"/>
        <v>11</v>
      </c>
      <c r="R48" s="1141">
        <f t="shared" si="278"/>
        <v>7</v>
      </c>
      <c r="S48" s="1142">
        <f t="shared" si="279"/>
        <v>2</v>
      </c>
      <c r="T48" s="1143">
        <f t="shared" si="280"/>
        <v>50</v>
      </c>
      <c r="U48" s="1144">
        <f t="shared" ref="U48:X48" si="281">ROUND((U$56*POWER(0.99,14*(10-$A48))/2)+U$56/2,0)</f>
        <v>8</v>
      </c>
      <c r="V48" s="1144">
        <f t="shared" si="281"/>
        <v>3</v>
      </c>
      <c r="W48" s="1144">
        <f t="shared" si="281"/>
        <v>9</v>
      </c>
      <c r="X48" s="1144">
        <f t="shared" si="281"/>
        <v>9</v>
      </c>
      <c r="Y48" s="1145">
        <f t="shared" si="282"/>
        <v>2</v>
      </c>
      <c r="Z48" s="1146">
        <f t="shared" si="283"/>
        <v>50</v>
      </c>
      <c r="AA48" s="1147">
        <f t="shared" ref="AA48:AD48" si="284">ROUND((AA$56*POWER(0.99,14*(10-$A48))/2)+AA$56/2,0)</f>
        <v>4</v>
      </c>
      <c r="AB48" s="1147">
        <f t="shared" si="284"/>
        <v>7</v>
      </c>
      <c r="AC48" s="1147">
        <f t="shared" si="284"/>
        <v>7</v>
      </c>
      <c r="AD48" s="1147">
        <f t="shared" si="284"/>
        <v>10</v>
      </c>
      <c r="AE48" s="1148">
        <f t="shared" si="285"/>
        <v>2</v>
      </c>
      <c r="AF48" s="1149">
        <f t="shared" si="286"/>
        <v>45</v>
      </c>
      <c r="AG48" s="1150">
        <f t="shared" ref="AG48:AJ48" si="287">ROUND((AG$56*POWER(0.99,14*(10-$A48))/2)+AG$56/2,0)</f>
        <v>5</v>
      </c>
      <c r="AH48" s="1150">
        <f t="shared" si="287"/>
        <v>7</v>
      </c>
      <c r="AI48" s="1150">
        <f t="shared" si="287"/>
        <v>10</v>
      </c>
      <c r="AJ48" s="1150">
        <f t="shared" si="287"/>
        <v>10</v>
      </c>
      <c r="AK48" s="1151">
        <f t="shared" si="288"/>
        <v>2</v>
      </c>
    </row>
    <row r="49" ht="19.5" customHeight="1">
      <c r="A49" s="1006">
        <v>3.0</v>
      </c>
      <c r="B49" s="1134">
        <f t="shared" si="271"/>
        <v>45</v>
      </c>
      <c r="C49" s="1135">
        <f t="shared" ref="C49:F49" si="289">ROUND((C$56*POWER(0.99,14*(10-$A16))/2)+C$56/2,0)</f>
        <v>13</v>
      </c>
      <c r="D49" s="1135">
        <f t="shared" si="289"/>
        <v>5</v>
      </c>
      <c r="E49" s="1135">
        <f t="shared" si="289"/>
        <v>8</v>
      </c>
      <c r="F49" s="1135">
        <f t="shared" si="289"/>
        <v>8</v>
      </c>
      <c r="G49" s="1136">
        <f t="shared" si="273"/>
        <v>1</v>
      </c>
      <c r="H49" s="1137">
        <f t="shared" si="274"/>
        <v>50</v>
      </c>
      <c r="I49" s="1138">
        <f t="shared" ref="I49:L49" si="290">ROUND((I$56*POWER(0.99,14*(10-$A16))/2)+I$56/2,0)</f>
        <v>10</v>
      </c>
      <c r="J49" s="1138">
        <f t="shared" si="290"/>
        <v>5</v>
      </c>
      <c r="K49" s="1138">
        <f t="shared" si="290"/>
        <v>13</v>
      </c>
      <c r="L49" s="1138">
        <f t="shared" si="290"/>
        <v>5</v>
      </c>
      <c r="M49" s="1139">
        <f t="shared" si="276"/>
        <v>1</v>
      </c>
      <c r="N49" s="1140">
        <f t="shared" si="277"/>
        <v>45</v>
      </c>
      <c r="O49" s="1141">
        <f t="shared" ref="O49:R49" si="291">ROUND((O$56*POWER(0.99,14*(10-$A16))/2)+O$56/2,0)</f>
        <v>9</v>
      </c>
      <c r="P49" s="1141">
        <f t="shared" si="291"/>
        <v>5</v>
      </c>
      <c r="Q49" s="1141">
        <f t="shared" si="291"/>
        <v>12</v>
      </c>
      <c r="R49" s="1141">
        <f t="shared" si="291"/>
        <v>7</v>
      </c>
      <c r="S49" s="1142">
        <f t="shared" si="279"/>
        <v>2</v>
      </c>
      <c r="T49" s="1143">
        <f t="shared" si="280"/>
        <v>50</v>
      </c>
      <c r="U49" s="1144">
        <f t="shared" ref="U49:X49" si="292">ROUND((U$56*POWER(0.99,14*(10-$A49))/2)+U$56/2,0)</f>
        <v>8</v>
      </c>
      <c r="V49" s="1144">
        <f t="shared" si="292"/>
        <v>3</v>
      </c>
      <c r="W49" s="1144">
        <f t="shared" si="292"/>
        <v>10</v>
      </c>
      <c r="X49" s="1144">
        <f t="shared" si="292"/>
        <v>10</v>
      </c>
      <c r="Y49" s="1145">
        <f t="shared" si="282"/>
        <v>2</v>
      </c>
      <c r="Z49" s="1146">
        <f t="shared" si="283"/>
        <v>50</v>
      </c>
      <c r="AA49" s="1147">
        <f t="shared" ref="AA49:AD49" si="293">ROUND((AA$56*POWER(0.99,14*(10-$A49))/2)+AA$56/2,0)</f>
        <v>4</v>
      </c>
      <c r="AB49" s="1147">
        <f t="shared" si="293"/>
        <v>7</v>
      </c>
      <c r="AC49" s="1147">
        <f t="shared" si="293"/>
        <v>7</v>
      </c>
      <c r="AD49" s="1147">
        <f t="shared" si="293"/>
        <v>10</v>
      </c>
      <c r="AE49" s="1148">
        <f t="shared" si="285"/>
        <v>2</v>
      </c>
      <c r="AF49" s="1149">
        <f t="shared" si="286"/>
        <v>45</v>
      </c>
      <c r="AG49" s="1150">
        <f t="shared" ref="AG49:AJ49" si="294">ROUND((AG$56*POWER(0.99,14*(10-$A49))/2)+AG$56/2,0)</f>
        <v>5</v>
      </c>
      <c r="AH49" s="1150">
        <f t="shared" si="294"/>
        <v>8</v>
      </c>
      <c r="AI49" s="1150">
        <f t="shared" si="294"/>
        <v>10</v>
      </c>
      <c r="AJ49" s="1150">
        <f t="shared" si="294"/>
        <v>10</v>
      </c>
      <c r="AK49" s="1151">
        <f t="shared" si="288"/>
        <v>2</v>
      </c>
    </row>
    <row r="50" ht="19.5" customHeight="1">
      <c r="A50" s="1006">
        <v>4.0</v>
      </c>
      <c r="B50" s="1134">
        <f t="shared" si="271"/>
        <v>45</v>
      </c>
      <c r="C50" s="1135">
        <f t="shared" ref="C50:F50" si="295">ROUND((C$56*POWER(0.99,14*(10-$A17))/2)+C$56/2,0)</f>
        <v>14</v>
      </c>
      <c r="D50" s="1135">
        <f t="shared" si="295"/>
        <v>5</v>
      </c>
      <c r="E50" s="1135">
        <f t="shared" si="295"/>
        <v>8</v>
      </c>
      <c r="F50" s="1135">
        <f t="shared" si="295"/>
        <v>8</v>
      </c>
      <c r="G50" s="1136">
        <f t="shared" si="273"/>
        <v>1</v>
      </c>
      <c r="H50" s="1137">
        <f t="shared" si="274"/>
        <v>55</v>
      </c>
      <c r="I50" s="1138">
        <f t="shared" ref="I50:L50" si="296">ROUND((I$56*POWER(0.99,14*(10-$A17))/2)+I$56/2,0)</f>
        <v>11</v>
      </c>
      <c r="J50" s="1138">
        <f t="shared" si="296"/>
        <v>5</v>
      </c>
      <c r="K50" s="1138">
        <f t="shared" si="296"/>
        <v>14</v>
      </c>
      <c r="L50" s="1138">
        <f t="shared" si="296"/>
        <v>6</v>
      </c>
      <c r="M50" s="1139">
        <f t="shared" si="276"/>
        <v>1</v>
      </c>
      <c r="N50" s="1140">
        <f t="shared" si="277"/>
        <v>50</v>
      </c>
      <c r="O50" s="1141">
        <f t="shared" ref="O50:R50" si="297">ROUND((O$56*POWER(0.99,14*(10-$A17))/2)+O$56/2,0)</f>
        <v>9</v>
      </c>
      <c r="P50" s="1141">
        <f t="shared" si="297"/>
        <v>6</v>
      </c>
      <c r="Q50" s="1141">
        <f t="shared" si="297"/>
        <v>12</v>
      </c>
      <c r="R50" s="1141">
        <f t="shared" si="297"/>
        <v>7</v>
      </c>
      <c r="S50" s="1142">
        <f t="shared" si="279"/>
        <v>2</v>
      </c>
      <c r="T50" s="1143">
        <f t="shared" si="280"/>
        <v>55</v>
      </c>
      <c r="U50" s="1144">
        <f t="shared" ref="U50:X50" si="298">ROUND((U$56*POWER(0.99,14*(10-$A50))/2)+U$56/2,0)</f>
        <v>9</v>
      </c>
      <c r="V50" s="1144">
        <f t="shared" si="298"/>
        <v>3</v>
      </c>
      <c r="W50" s="1144">
        <f t="shared" si="298"/>
        <v>10</v>
      </c>
      <c r="X50" s="1144">
        <f t="shared" si="298"/>
        <v>10</v>
      </c>
      <c r="Y50" s="1145">
        <f t="shared" si="282"/>
        <v>2</v>
      </c>
      <c r="Z50" s="1146">
        <f t="shared" si="283"/>
        <v>55</v>
      </c>
      <c r="AA50" s="1147">
        <f t="shared" ref="AA50:AD50" si="299">ROUND((AA$56*POWER(0.99,14*(10-$A50))/2)+AA$56/2,0)</f>
        <v>4</v>
      </c>
      <c r="AB50" s="1147">
        <f t="shared" si="299"/>
        <v>7</v>
      </c>
      <c r="AC50" s="1147">
        <f t="shared" si="299"/>
        <v>7</v>
      </c>
      <c r="AD50" s="1147">
        <f t="shared" si="299"/>
        <v>11</v>
      </c>
      <c r="AE50" s="1148">
        <f t="shared" si="285"/>
        <v>2</v>
      </c>
      <c r="AF50" s="1149">
        <f t="shared" si="286"/>
        <v>50</v>
      </c>
      <c r="AG50" s="1150">
        <f t="shared" ref="AG50:AJ50" si="300">ROUND((AG$56*POWER(0.99,14*(10-$A50))/2)+AG$56/2,0)</f>
        <v>5</v>
      </c>
      <c r="AH50" s="1150">
        <f t="shared" si="300"/>
        <v>8</v>
      </c>
      <c r="AI50" s="1150">
        <f t="shared" si="300"/>
        <v>11</v>
      </c>
      <c r="AJ50" s="1150">
        <f t="shared" si="300"/>
        <v>11</v>
      </c>
      <c r="AK50" s="1151">
        <f t="shared" si="288"/>
        <v>2</v>
      </c>
    </row>
    <row r="51" ht="19.5" customHeight="1">
      <c r="A51" s="1006">
        <v>5.0</v>
      </c>
      <c r="B51" s="1134">
        <f t="shared" si="271"/>
        <v>45</v>
      </c>
      <c r="C51" s="1135">
        <f t="shared" ref="C51:F51" si="301">ROUND((C$56*POWER(0.99,14*(10-$A18))/2)+C$56/2,0)</f>
        <v>14</v>
      </c>
      <c r="D51" s="1135">
        <f t="shared" si="301"/>
        <v>5</v>
      </c>
      <c r="E51" s="1135">
        <f t="shared" si="301"/>
        <v>8</v>
      </c>
      <c r="F51" s="1135">
        <f t="shared" si="301"/>
        <v>8</v>
      </c>
      <c r="G51" s="1136">
        <f t="shared" si="273"/>
        <v>1</v>
      </c>
      <c r="H51" s="1137">
        <f t="shared" si="274"/>
        <v>55</v>
      </c>
      <c r="I51" s="1138">
        <f t="shared" ref="I51:L51" si="302">ROUND((I$56*POWER(0.99,14*(10-$A18))/2)+I$56/2,0)</f>
        <v>11</v>
      </c>
      <c r="J51" s="1138">
        <f t="shared" si="302"/>
        <v>5</v>
      </c>
      <c r="K51" s="1138">
        <f t="shared" si="302"/>
        <v>14</v>
      </c>
      <c r="L51" s="1138">
        <f t="shared" si="302"/>
        <v>6</v>
      </c>
      <c r="M51" s="1139">
        <f t="shared" si="276"/>
        <v>1</v>
      </c>
      <c r="N51" s="1140">
        <f t="shared" si="277"/>
        <v>50</v>
      </c>
      <c r="O51" s="1141">
        <f t="shared" ref="O51:R51" si="303">ROUND((O$56*POWER(0.99,14*(10-$A18))/2)+O$56/2,0)</f>
        <v>10</v>
      </c>
      <c r="P51" s="1141">
        <f t="shared" si="303"/>
        <v>6</v>
      </c>
      <c r="Q51" s="1141">
        <f t="shared" si="303"/>
        <v>13</v>
      </c>
      <c r="R51" s="1141">
        <f t="shared" si="303"/>
        <v>7</v>
      </c>
      <c r="S51" s="1142">
        <f t="shared" si="279"/>
        <v>2</v>
      </c>
      <c r="T51" s="1143">
        <f t="shared" si="280"/>
        <v>55</v>
      </c>
      <c r="U51" s="1144">
        <f t="shared" ref="U51:X51" si="304">ROUND((U$56*POWER(0.99,14*(10-$A51))/2)+U$56/2,0)</f>
        <v>9</v>
      </c>
      <c r="V51" s="1144">
        <f t="shared" si="304"/>
        <v>3</v>
      </c>
      <c r="W51" s="1144">
        <f t="shared" si="304"/>
        <v>10</v>
      </c>
      <c r="X51" s="1144">
        <f t="shared" si="304"/>
        <v>10</v>
      </c>
      <c r="Y51" s="1145">
        <f t="shared" si="282"/>
        <v>2</v>
      </c>
      <c r="Z51" s="1146">
        <f t="shared" si="283"/>
        <v>55</v>
      </c>
      <c r="AA51" s="1147">
        <f t="shared" ref="AA51:AD51" si="305">ROUND((AA$56*POWER(0.99,14*(10-$A51))/2)+AA$56/2,0)</f>
        <v>4</v>
      </c>
      <c r="AB51" s="1147">
        <f t="shared" si="305"/>
        <v>7</v>
      </c>
      <c r="AC51" s="1147">
        <f t="shared" si="305"/>
        <v>7</v>
      </c>
      <c r="AD51" s="1147">
        <f t="shared" si="305"/>
        <v>11</v>
      </c>
      <c r="AE51" s="1148">
        <f t="shared" si="285"/>
        <v>2</v>
      </c>
      <c r="AF51" s="1149">
        <f t="shared" si="286"/>
        <v>50</v>
      </c>
      <c r="AG51" s="1150">
        <f t="shared" ref="AG51:AJ51" si="306">ROUND((AG$56*POWER(0.99,14*(10-$A51))/2)+AG$56/2,0)</f>
        <v>5</v>
      </c>
      <c r="AH51" s="1150">
        <f t="shared" si="306"/>
        <v>8</v>
      </c>
      <c r="AI51" s="1150">
        <f t="shared" si="306"/>
        <v>11</v>
      </c>
      <c r="AJ51" s="1150">
        <f t="shared" si="306"/>
        <v>11</v>
      </c>
      <c r="AK51" s="1151">
        <f t="shared" si="288"/>
        <v>2</v>
      </c>
    </row>
    <row r="52" ht="19.5" customHeight="1">
      <c r="A52" s="1006">
        <v>6.0</v>
      </c>
      <c r="B52" s="1134">
        <f t="shared" si="271"/>
        <v>50</v>
      </c>
      <c r="C52" s="1135">
        <f t="shared" ref="C52:F52" si="307">ROUND((C$56*POWER(0.99,14*(10-$A19))/2)+C$56/2,0)</f>
        <v>15</v>
      </c>
      <c r="D52" s="1135">
        <f t="shared" si="307"/>
        <v>5</v>
      </c>
      <c r="E52" s="1135">
        <f t="shared" si="307"/>
        <v>9</v>
      </c>
      <c r="F52" s="1135">
        <f t="shared" si="307"/>
        <v>9</v>
      </c>
      <c r="G52" s="1136">
        <f t="shared" si="273"/>
        <v>1</v>
      </c>
      <c r="H52" s="1137">
        <f t="shared" si="274"/>
        <v>55</v>
      </c>
      <c r="I52" s="1138">
        <f t="shared" ref="I52:L52" si="308">ROUND((I$56*POWER(0.99,14*(10-$A19))/2)+I$56/2,0)</f>
        <v>12</v>
      </c>
      <c r="J52" s="1138">
        <f t="shared" si="308"/>
        <v>5</v>
      </c>
      <c r="K52" s="1138">
        <f t="shared" si="308"/>
        <v>15</v>
      </c>
      <c r="L52" s="1138">
        <f t="shared" si="308"/>
        <v>6</v>
      </c>
      <c r="M52" s="1139">
        <f t="shared" si="276"/>
        <v>1</v>
      </c>
      <c r="N52" s="1140">
        <f t="shared" si="277"/>
        <v>55</v>
      </c>
      <c r="O52" s="1141">
        <f t="shared" ref="O52:R52" si="309">ROUND((O$56*POWER(0.99,14*(10-$A19))/2)+O$56/2,0)</f>
        <v>10</v>
      </c>
      <c r="P52" s="1141">
        <f t="shared" si="309"/>
        <v>6</v>
      </c>
      <c r="Q52" s="1141">
        <f t="shared" si="309"/>
        <v>13</v>
      </c>
      <c r="R52" s="1141">
        <f t="shared" si="309"/>
        <v>8</v>
      </c>
      <c r="S52" s="1142">
        <f t="shared" si="279"/>
        <v>2</v>
      </c>
      <c r="T52" s="1143">
        <f t="shared" si="280"/>
        <v>55</v>
      </c>
      <c r="U52" s="1144">
        <f t="shared" ref="U52:X52" si="310">ROUND((U$56*POWER(0.99,14*(10-$A52))/2)+U$56/2,0)</f>
        <v>9</v>
      </c>
      <c r="V52" s="1144">
        <f t="shared" si="310"/>
        <v>3</v>
      </c>
      <c r="W52" s="1144">
        <f t="shared" si="310"/>
        <v>11</v>
      </c>
      <c r="X52" s="1144">
        <f t="shared" si="310"/>
        <v>11</v>
      </c>
      <c r="Y52" s="1145">
        <f t="shared" si="282"/>
        <v>2</v>
      </c>
      <c r="Z52" s="1146">
        <f t="shared" si="283"/>
        <v>55</v>
      </c>
      <c r="AA52" s="1147">
        <f t="shared" ref="AA52:AD52" si="311">ROUND((AA$56*POWER(0.99,14*(10-$A52))/2)+AA$56/2,0)</f>
        <v>5</v>
      </c>
      <c r="AB52" s="1147">
        <f t="shared" si="311"/>
        <v>8</v>
      </c>
      <c r="AC52" s="1147">
        <f t="shared" si="311"/>
        <v>8</v>
      </c>
      <c r="AD52" s="1147">
        <f t="shared" si="311"/>
        <v>12</v>
      </c>
      <c r="AE52" s="1148">
        <f t="shared" si="285"/>
        <v>2</v>
      </c>
      <c r="AF52" s="1149">
        <f t="shared" si="286"/>
        <v>55</v>
      </c>
      <c r="AG52" s="1150">
        <f t="shared" ref="AG52:AJ52" si="312">ROUND((AG$56*POWER(0.99,14*(10-$A52))/2)+AG$56/2,0)</f>
        <v>5</v>
      </c>
      <c r="AH52" s="1150">
        <f t="shared" si="312"/>
        <v>9</v>
      </c>
      <c r="AI52" s="1150">
        <f t="shared" si="312"/>
        <v>12</v>
      </c>
      <c r="AJ52" s="1150">
        <f t="shared" si="312"/>
        <v>12</v>
      </c>
      <c r="AK52" s="1151">
        <f t="shared" si="288"/>
        <v>2</v>
      </c>
    </row>
    <row r="53" ht="19.5" customHeight="1">
      <c r="A53" s="1006">
        <v>7.0</v>
      </c>
      <c r="B53" s="1134">
        <f t="shared" si="271"/>
        <v>50</v>
      </c>
      <c r="C53" s="1135">
        <f t="shared" ref="C53:F53" si="313">ROUND((C$56*POWER(0.99,14*(10-$A20))/2)+C$56/2,0)</f>
        <v>16</v>
      </c>
      <c r="D53" s="1135">
        <f t="shared" si="313"/>
        <v>6</v>
      </c>
      <c r="E53" s="1135">
        <f t="shared" si="313"/>
        <v>9</v>
      </c>
      <c r="F53" s="1135">
        <f t="shared" si="313"/>
        <v>9</v>
      </c>
      <c r="G53" s="1136">
        <f t="shared" si="273"/>
        <v>1</v>
      </c>
      <c r="H53" s="1137">
        <f t="shared" si="274"/>
        <v>60</v>
      </c>
      <c r="I53" s="1138">
        <f t="shared" ref="I53:L53" si="314">ROUND((I$56*POWER(0.99,14*(10-$A20))/2)+I$56/2,0)</f>
        <v>12</v>
      </c>
      <c r="J53" s="1138">
        <f t="shared" si="314"/>
        <v>6</v>
      </c>
      <c r="K53" s="1138">
        <f t="shared" si="314"/>
        <v>16</v>
      </c>
      <c r="L53" s="1138">
        <f t="shared" si="314"/>
        <v>7</v>
      </c>
      <c r="M53" s="1139">
        <f t="shared" si="276"/>
        <v>1</v>
      </c>
      <c r="N53" s="1140">
        <f t="shared" si="277"/>
        <v>55</v>
      </c>
      <c r="O53" s="1141">
        <f t="shared" ref="O53:R53" si="315">ROUND((O$56*POWER(0.99,14*(10-$A20))/2)+O$56/2,0)</f>
        <v>11</v>
      </c>
      <c r="P53" s="1141">
        <f t="shared" si="315"/>
        <v>7</v>
      </c>
      <c r="Q53" s="1141">
        <f t="shared" si="315"/>
        <v>14</v>
      </c>
      <c r="R53" s="1141">
        <f t="shared" si="315"/>
        <v>8</v>
      </c>
      <c r="S53" s="1142">
        <f t="shared" si="279"/>
        <v>2</v>
      </c>
      <c r="T53" s="1143">
        <f t="shared" si="280"/>
        <v>60</v>
      </c>
      <c r="U53" s="1144">
        <f t="shared" ref="U53:X53" si="316">ROUND((U$56*POWER(0.99,14*(10-$A53))/2)+U$56/2,0)</f>
        <v>10</v>
      </c>
      <c r="V53" s="1144">
        <f t="shared" si="316"/>
        <v>3</v>
      </c>
      <c r="W53" s="1144">
        <f t="shared" si="316"/>
        <v>12</v>
      </c>
      <c r="X53" s="1144">
        <f t="shared" si="316"/>
        <v>12</v>
      </c>
      <c r="Y53" s="1145">
        <f t="shared" si="282"/>
        <v>2</v>
      </c>
      <c r="Z53" s="1146">
        <f t="shared" si="283"/>
        <v>60</v>
      </c>
      <c r="AA53" s="1147">
        <f t="shared" ref="AA53:AD53" si="317">ROUND((AA$56*POWER(0.99,14*(10-$A53))/2)+AA$56/2,0)</f>
        <v>5</v>
      </c>
      <c r="AB53" s="1147">
        <f t="shared" si="317"/>
        <v>8</v>
      </c>
      <c r="AC53" s="1147">
        <f t="shared" si="317"/>
        <v>8</v>
      </c>
      <c r="AD53" s="1147">
        <f t="shared" si="317"/>
        <v>12</v>
      </c>
      <c r="AE53" s="1148">
        <f t="shared" si="285"/>
        <v>2</v>
      </c>
      <c r="AF53" s="1149">
        <f t="shared" si="286"/>
        <v>55</v>
      </c>
      <c r="AG53" s="1150">
        <f t="shared" ref="AG53:AJ53" si="318">ROUND((AG$56*POWER(0.99,14*(10-$A53))/2)+AG$56/2,0)</f>
        <v>6</v>
      </c>
      <c r="AH53" s="1150">
        <f t="shared" si="318"/>
        <v>9</v>
      </c>
      <c r="AI53" s="1150">
        <f t="shared" si="318"/>
        <v>12</v>
      </c>
      <c r="AJ53" s="1150">
        <f t="shared" si="318"/>
        <v>12</v>
      </c>
      <c r="AK53" s="1151">
        <f t="shared" si="288"/>
        <v>2</v>
      </c>
    </row>
    <row r="54" ht="19.5" customHeight="1">
      <c r="A54" s="1006">
        <v>8.0</v>
      </c>
      <c r="B54" s="1134">
        <f t="shared" si="271"/>
        <v>55</v>
      </c>
      <c r="C54" s="1135">
        <f t="shared" ref="C54:F54" si="319">ROUND((C$56*POWER(0.99,14*(10-$A21))/2)+C$56/2,0)</f>
        <v>17</v>
      </c>
      <c r="D54" s="1135">
        <f t="shared" si="319"/>
        <v>6</v>
      </c>
      <c r="E54" s="1135">
        <f t="shared" si="319"/>
        <v>10</v>
      </c>
      <c r="F54" s="1135">
        <f t="shared" si="319"/>
        <v>10</v>
      </c>
      <c r="G54" s="1136">
        <f t="shared" si="273"/>
        <v>1</v>
      </c>
      <c r="H54" s="1137">
        <f t="shared" si="274"/>
        <v>65</v>
      </c>
      <c r="I54" s="1138">
        <f t="shared" ref="I54:L54" si="320">ROUND((I$56*POWER(0.99,14*(10-$A21))/2)+I$56/2,0)</f>
        <v>13</v>
      </c>
      <c r="J54" s="1138">
        <f t="shared" si="320"/>
        <v>6</v>
      </c>
      <c r="K54" s="1138">
        <f t="shared" si="320"/>
        <v>17</v>
      </c>
      <c r="L54" s="1138">
        <f t="shared" si="320"/>
        <v>7</v>
      </c>
      <c r="M54" s="1139">
        <f t="shared" si="276"/>
        <v>1</v>
      </c>
      <c r="N54" s="1140">
        <f t="shared" si="277"/>
        <v>60</v>
      </c>
      <c r="O54" s="1141">
        <f t="shared" ref="O54:R54" si="321">ROUND((O$56*POWER(0.99,14*(10-$A21))/2)+O$56/2,0)</f>
        <v>11</v>
      </c>
      <c r="P54" s="1141">
        <f t="shared" si="321"/>
        <v>7</v>
      </c>
      <c r="Q54" s="1141">
        <f t="shared" si="321"/>
        <v>15</v>
      </c>
      <c r="R54" s="1141">
        <f t="shared" si="321"/>
        <v>9</v>
      </c>
      <c r="S54" s="1142">
        <f t="shared" si="279"/>
        <v>2</v>
      </c>
      <c r="T54" s="1143">
        <f t="shared" si="280"/>
        <v>65</v>
      </c>
      <c r="U54" s="1144">
        <f t="shared" ref="U54:X54" si="322">ROUND((U$56*POWER(0.99,14*(10-$A54))/2)+U$56/2,0)</f>
        <v>11</v>
      </c>
      <c r="V54" s="1144">
        <f t="shared" si="322"/>
        <v>4</v>
      </c>
      <c r="W54" s="1144">
        <f t="shared" si="322"/>
        <v>12</v>
      </c>
      <c r="X54" s="1144">
        <f t="shared" si="322"/>
        <v>12</v>
      </c>
      <c r="Y54" s="1145">
        <f t="shared" si="282"/>
        <v>2</v>
      </c>
      <c r="Z54" s="1146">
        <f t="shared" si="283"/>
        <v>65</v>
      </c>
      <c r="AA54" s="1147">
        <f t="shared" ref="AA54:AD54" si="323">ROUND((AA$56*POWER(0.99,14*(10-$A54))/2)+AA$56/2,0)</f>
        <v>5</v>
      </c>
      <c r="AB54" s="1147">
        <f t="shared" si="323"/>
        <v>9</v>
      </c>
      <c r="AC54" s="1147">
        <f t="shared" si="323"/>
        <v>9</v>
      </c>
      <c r="AD54" s="1147">
        <f t="shared" si="323"/>
        <v>13</v>
      </c>
      <c r="AE54" s="1148">
        <f t="shared" si="285"/>
        <v>2</v>
      </c>
      <c r="AF54" s="1149">
        <f t="shared" si="286"/>
        <v>60</v>
      </c>
      <c r="AG54" s="1150">
        <f t="shared" ref="AG54:AJ54" si="324">ROUND((AG$56*POWER(0.99,14*(10-$A54))/2)+AG$56/2,0)</f>
        <v>6</v>
      </c>
      <c r="AH54" s="1150">
        <f t="shared" si="324"/>
        <v>10</v>
      </c>
      <c r="AI54" s="1150">
        <f t="shared" si="324"/>
        <v>13</v>
      </c>
      <c r="AJ54" s="1150">
        <f t="shared" si="324"/>
        <v>13</v>
      </c>
      <c r="AK54" s="1151">
        <f t="shared" si="288"/>
        <v>2</v>
      </c>
    </row>
    <row r="55" ht="19.5" customHeight="1">
      <c r="A55" s="1006">
        <v>9.0</v>
      </c>
      <c r="B55" s="1134">
        <f t="shared" si="271"/>
        <v>60</v>
      </c>
      <c r="C55" s="1135">
        <f t="shared" ref="C55:F55" si="325">ROUND((C$56*POWER(0.99,14*(10-$A22))/2)+C$56/2,0)</f>
        <v>18</v>
      </c>
      <c r="D55" s="1135">
        <f t="shared" si="325"/>
        <v>7</v>
      </c>
      <c r="E55" s="1135">
        <f t="shared" si="325"/>
        <v>10</v>
      </c>
      <c r="F55" s="1135">
        <f t="shared" si="325"/>
        <v>10</v>
      </c>
      <c r="G55" s="1136">
        <f t="shared" si="273"/>
        <v>1</v>
      </c>
      <c r="H55" s="1137">
        <f t="shared" si="274"/>
        <v>70</v>
      </c>
      <c r="I55" s="1138">
        <f t="shared" ref="I55:L55" si="326">ROUND((I$56*POWER(0.99,14*(10-$A22))/2)+I$56/2,0)</f>
        <v>14</v>
      </c>
      <c r="J55" s="1138">
        <f t="shared" si="326"/>
        <v>7</v>
      </c>
      <c r="K55" s="1138">
        <f t="shared" si="326"/>
        <v>18</v>
      </c>
      <c r="L55" s="1138">
        <f t="shared" si="326"/>
        <v>7</v>
      </c>
      <c r="M55" s="1139">
        <f t="shared" si="276"/>
        <v>1</v>
      </c>
      <c r="N55" s="1140">
        <f t="shared" si="277"/>
        <v>65</v>
      </c>
      <c r="O55" s="1141">
        <f t="shared" ref="O55:R55" si="327">ROUND((O$56*POWER(0.99,14*(10-$A22))/2)+O$56/2,0)</f>
        <v>12</v>
      </c>
      <c r="P55" s="1141">
        <f t="shared" si="327"/>
        <v>7</v>
      </c>
      <c r="Q55" s="1141">
        <f t="shared" si="327"/>
        <v>16</v>
      </c>
      <c r="R55" s="1141">
        <f t="shared" si="327"/>
        <v>9</v>
      </c>
      <c r="S55" s="1142">
        <f t="shared" si="279"/>
        <v>2</v>
      </c>
      <c r="T55" s="1143">
        <f t="shared" si="280"/>
        <v>70</v>
      </c>
      <c r="U55" s="1144">
        <f t="shared" ref="U55:X55" si="328">ROUND((U$56*POWER(0.99,14*(10-$A55))/2)+U$56/2,0)</f>
        <v>11</v>
      </c>
      <c r="V55" s="1144">
        <f t="shared" si="328"/>
        <v>4</v>
      </c>
      <c r="W55" s="1144">
        <f t="shared" si="328"/>
        <v>13</v>
      </c>
      <c r="X55" s="1144">
        <f t="shared" si="328"/>
        <v>13</v>
      </c>
      <c r="Y55" s="1145">
        <f t="shared" si="282"/>
        <v>2</v>
      </c>
      <c r="Z55" s="1146">
        <f t="shared" si="283"/>
        <v>70</v>
      </c>
      <c r="AA55" s="1147">
        <f t="shared" ref="AA55:AD55" si="329">ROUND((AA$56*POWER(0.99,14*(10-$A55))/2)+AA$56/2,0)</f>
        <v>6</v>
      </c>
      <c r="AB55" s="1147">
        <f t="shared" si="329"/>
        <v>9</v>
      </c>
      <c r="AC55" s="1147">
        <f t="shared" si="329"/>
        <v>9</v>
      </c>
      <c r="AD55" s="1147">
        <f t="shared" si="329"/>
        <v>14</v>
      </c>
      <c r="AE55" s="1148">
        <f t="shared" si="285"/>
        <v>2</v>
      </c>
      <c r="AF55" s="1149">
        <f t="shared" si="286"/>
        <v>65</v>
      </c>
      <c r="AG55" s="1150">
        <f t="shared" ref="AG55:AJ55" si="330">ROUND((AG$56*POWER(0.99,14*(10-$A55))/2)+AG$56/2,0)</f>
        <v>7</v>
      </c>
      <c r="AH55" s="1150">
        <f t="shared" si="330"/>
        <v>10</v>
      </c>
      <c r="AI55" s="1150">
        <f t="shared" si="330"/>
        <v>14</v>
      </c>
      <c r="AJ55" s="1150">
        <f t="shared" si="330"/>
        <v>14</v>
      </c>
      <c r="AK55" s="1151">
        <f t="shared" si="288"/>
        <v>2</v>
      </c>
    </row>
    <row r="56" ht="19.5" customHeight="1">
      <c r="A56" s="1022">
        <v>10.0</v>
      </c>
      <c r="B56" s="1152">
        <v>60.0</v>
      </c>
      <c r="C56" s="1153">
        <v>19.0</v>
      </c>
      <c r="D56" s="1153">
        <v>7.0</v>
      </c>
      <c r="E56" s="1153">
        <v>11.0</v>
      </c>
      <c r="F56" s="1153">
        <v>11.0</v>
      </c>
      <c r="G56" s="1154">
        <v>1.0</v>
      </c>
      <c r="H56" s="1155">
        <v>70.0</v>
      </c>
      <c r="I56" s="1156">
        <v>15.0</v>
      </c>
      <c r="J56" s="1156">
        <v>7.0</v>
      </c>
      <c r="K56" s="1156">
        <v>19.0</v>
      </c>
      <c r="L56" s="1156">
        <v>8.0</v>
      </c>
      <c r="M56" s="1157">
        <v>1.0</v>
      </c>
      <c r="N56" s="1158">
        <v>65.0</v>
      </c>
      <c r="O56" s="1159">
        <v>13.0</v>
      </c>
      <c r="P56" s="1159">
        <v>8.0</v>
      </c>
      <c r="Q56" s="1159">
        <v>17.0</v>
      </c>
      <c r="R56" s="1159">
        <v>10.0</v>
      </c>
      <c r="S56" s="1160">
        <v>2.0</v>
      </c>
      <c r="T56" s="1161">
        <v>70.0</v>
      </c>
      <c r="U56" s="1162">
        <v>12.0</v>
      </c>
      <c r="V56" s="1162">
        <v>4.0</v>
      </c>
      <c r="W56" s="1162">
        <v>14.0</v>
      </c>
      <c r="X56" s="1162">
        <v>14.0</v>
      </c>
      <c r="Y56" s="1163">
        <v>2.0</v>
      </c>
      <c r="Z56" s="1164">
        <v>70.0</v>
      </c>
      <c r="AA56" s="1165">
        <v>6.0</v>
      </c>
      <c r="AB56" s="1165">
        <v>10.0</v>
      </c>
      <c r="AC56" s="1165">
        <v>10.0</v>
      </c>
      <c r="AD56" s="1165">
        <v>15.0</v>
      </c>
      <c r="AE56" s="1166">
        <v>2.0</v>
      </c>
      <c r="AF56" s="1167">
        <v>65.0</v>
      </c>
      <c r="AG56" s="1168">
        <v>7.0</v>
      </c>
      <c r="AH56" s="1168">
        <v>11.0</v>
      </c>
      <c r="AI56" s="1168">
        <v>15.0</v>
      </c>
      <c r="AJ56" s="1168">
        <v>15.0</v>
      </c>
      <c r="AK56" s="1169">
        <v>2.0</v>
      </c>
    </row>
    <row r="57" ht="27.0" customHeight="1">
      <c r="A57" s="1041" t="s">
        <v>444</v>
      </c>
      <c r="B57" s="1170" t="s">
        <v>1139</v>
      </c>
      <c r="C57" s="1043"/>
      <c r="D57" s="1043"/>
      <c r="E57" s="1043"/>
      <c r="F57" s="1043"/>
      <c r="G57" s="1044"/>
      <c r="H57" s="1171" t="s">
        <v>102</v>
      </c>
      <c r="I57" s="1043"/>
      <c r="J57" s="1043"/>
      <c r="K57" s="1043"/>
      <c r="L57" s="1043"/>
      <c r="M57" s="1044"/>
      <c r="N57" s="1172" t="s">
        <v>84</v>
      </c>
      <c r="O57" s="1043"/>
      <c r="P57" s="1043"/>
      <c r="Q57" s="1043"/>
      <c r="R57" s="1043"/>
      <c r="S57" s="1044"/>
      <c r="T57" s="1173"/>
      <c r="U57" s="1043"/>
      <c r="V57" s="1043"/>
      <c r="W57" s="1043"/>
      <c r="X57" s="1043"/>
      <c r="Y57" s="1044"/>
      <c r="Z57" s="1173"/>
      <c r="AA57" s="1043"/>
      <c r="AB57" s="1043"/>
      <c r="AC57" s="1043"/>
      <c r="AD57" s="1043"/>
      <c r="AE57" s="1044"/>
      <c r="AF57" s="1173"/>
      <c r="AG57" s="1043"/>
      <c r="AH57" s="1043"/>
      <c r="AI57" s="1043"/>
      <c r="AJ57" s="1043"/>
      <c r="AK57" s="1044"/>
    </row>
    <row r="58" ht="19.5" customHeight="1">
      <c r="A58" s="1006">
        <v>1.0</v>
      </c>
      <c r="B58" s="1174">
        <f t="shared" ref="B58:B66" si="334">ROUNDUP(((B$67*POWER(0.99,14*(10-$A36))/2)+B$67/2)/5,0)*5</f>
        <v>45</v>
      </c>
      <c r="C58" s="1175">
        <f t="shared" ref="C58:F58" si="331">ROUND((C$67*POWER(0.99,14*(10-$A36))/2)+C$67/2,0)</f>
        <v>8</v>
      </c>
      <c r="D58" s="1175">
        <f t="shared" si="331"/>
        <v>8</v>
      </c>
      <c r="E58" s="1175">
        <f t="shared" si="331"/>
        <v>6</v>
      </c>
      <c r="F58" s="1175">
        <f t="shared" si="331"/>
        <v>6</v>
      </c>
      <c r="G58" s="1176">
        <f t="shared" ref="G58:G66" si="336">G$67</f>
        <v>1</v>
      </c>
      <c r="H58" s="1177">
        <f t="shared" ref="H58:H66" si="337">ROUNDUP(((H$67*POWER(0.99,14*(10-$A36))/2)+H$67/2)/5,0)*5</f>
        <v>40</v>
      </c>
      <c r="I58" s="1178">
        <f t="shared" ref="I58:L58" si="332">ROUND((I$67*POWER(0.99,14*(10-$A36))/2)+I$67/2,0)</f>
        <v>3</v>
      </c>
      <c r="J58" s="1178">
        <f t="shared" si="332"/>
        <v>8</v>
      </c>
      <c r="K58" s="1178">
        <f t="shared" si="332"/>
        <v>4</v>
      </c>
      <c r="L58" s="1178">
        <f t="shared" si="332"/>
        <v>17</v>
      </c>
      <c r="M58" s="1179">
        <f t="shared" ref="M58:M66" si="339">M$67</f>
        <v>1</v>
      </c>
      <c r="N58" s="1180">
        <f t="shared" ref="N58:N66" si="340">ROUNDUP(((N$67*POWER(0.99,14*(10-$A36))/2)+N$67/2)/5,0)*5</f>
        <v>45</v>
      </c>
      <c r="O58" s="1181">
        <f t="shared" ref="O58:R58" si="333">ROUND((O$67*POWER(0.99,14*(10-$A36))/2)+O$67/2,0)</f>
        <v>4</v>
      </c>
      <c r="P58" s="1181">
        <f t="shared" si="333"/>
        <v>6</v>
      </c>
      <c r="Q58" s="1181">
        <f t="shared" si="333"/>
        <v>3</v>
      </c>
      <c r="R58" s="1181">
        <f t="shared" si="333"/>
        <v>3</v>
      </c>
      <c r="S58" s="1182">
        <f t="shared" ref="S58:S66" si="342">S$67</f>
        <v>1</v>
      </c>
      <c r="T58" s="1183"/>
      <c r="U58" s="1184"/>
      <c r="V58" s="1184"/>
      <c r="W58" s="1184"/>
      <c r="X58" s="1184"/>
      <c r="Y58" s="1185"/>
      <c r="Z58" s="1186"/>
      <c r="AE58" s="1187"/>
      <c r="AF58" s="1186"/>
      <c r="AK58" s="1187"/>
    </row>
    <row r="59" ht="19.5" customHeight="1">
      <c r="A59" s="1006">
        <v>2.0</v>
      </c>
      <c r="B59" s="1174">
        <f t="shared" si="334"/>
        <v>45</v>
      </c>
      <c r="C59" s="1175">
        <f t="shared" ref="C59:F59" si="335">ROUND((C$67*POWER(0.99,14*(10-$A37))/2)+C$67/2,0)</f>
        <v>9</v>
      </c>
      <c r="D59" s="1175">
        <f t="shared" si="335"/>
        <v>9</v>
      </c>
      <c r="E59" s="1175">
        <f t="shared" si="335"/>
        <v>7</v>
      </c>
      <c r="F59" s="1175">
        <f t="shared" si="335"/>
        <v>7</v>
      </c>
      <c r="G59" s="1176">
        <f t="shared" si="336"/>
        <v>1</v>
      </c>
      <c r="H59" s="1177">
        <f t="shared" si="337"/>
        <v>40</v>
      </c>
      <c r="I59" s="1178">
        <f t="shared" ref="I59:L59" si="338">ROUND((I$67*POWER(0.99,14*(10-$A37))/2)+I$67/2,0)</f>
        <v>3</v>
      </c>
      <c r="J59" s="1178">
        <f t="shared" si="338"/>
        <v>8</v>
      </c>
      <c r="K59" s="1178">
        <f t="shared" si="338"/>
        <v>5</v>
      </c>
      <c r="L59" s="1178">
        <f t="shared" si="338"/>
        <v>18</v>
      </c>
      <c r="M59" s="1179">
        <f t="shared" si="339"/>
        <v>1</v>
      </c>
      <c r="N59" s="1180">
        <f t="shared" si="340"/>
        <v>45</v>
      </c>
      <c r="O59" s="1181">
        <f t="shared" ref="O59:R59" si="341">ROUND((O$67*POWER(0.99,14*(10-$A37))/2)+O$67/2,0)</f>
        <v>5</v>
      </c>
      <c r="P59" s="1181">
        <f t="shared" si="341"/>
        <v>7</v>
      </c>
      <c r="Q59" s="1181">
        <f t="shared" si="341"/>
        <v>3</v>
      </c>
      <c r="R59" s="1181">
        <f t="shared" si="341"/>
        <v>3</v>
      </c>
      <c r="S59" s="1182">
        <f t="shared" si="342"/>
        <v>1</v>
      </c>
      <c r="T59" s="1183"/>
      <c r="U59" s="1184"/>
      <c r="V59" s="1184"/>
      <c r="W59" s="1184"/>
      <c r="X59" s="1184"/>
      <c r="Y59" s="1185"/>
      <c r="Z59" s="1186"/>
      <c r="AE59" s="1187"/>
      <c r="AF59" s="1186"/>
      <c r="AK59" s="1187"/>
    </row>
    <row r="60" ht="19.5" customHeight="1">
      <c r="A60" s="1006">
        <v>3.0</v>
      </c>
      <c r="B60" s="1174">
        <f t="shared" si="334"/>
        <v>45</v>
      </c>
      <c r="C60" s="1175">
        <f t="shared" ref="C60:F60" si="343">ROUND((C$67*POWER(0.99,14*(10-$A38))/2)+C$67/2,0)</f>
        <v>9</v>
      </c>
      <c r="D60" s="1175">
        <f t="shared" si="343"/>
        <v>9</v>
      </c>
      <c r="E60" s="1175">
        <f t="shared" si="343"/>
        <v>7</v>
      </c>
      <c r="F60" s="1175">
        <f t="shared" si="343"/>
        <v>7</v>
      </c>
      <c r="G60" s="1176">
        <f t="shared" si="336"/>
        <v>1</v>
      </c>
      <c r="H60" s="1177">
        <f t="shared" si="337"/>
        <v>45</v>
      </c>
      <c r="I60" s="1178">
        <f t="shared" ref="I60:L60" si="344">ROUND((I$67*POWER(0.99,14*(10-$A38))/2)+I$67/2,0)</f>
        <v>3</v>
      </c>
      <c r="J60" s="1178">
        <f t="shared" si="344"/>
        <v>8</v>
      </c>
      <c r="K60" s="1178">
        <f t="shared" si="344"/>
        <v>5</v>
      </c>
      <c r="L60" s="1178">
        <f t="shared" si="344"/>
        <v>19</v>
      </c>
      <c r="M60" s="1179">
        <f t="shared" si="339"/>
        <v>1</v>
      </c>
      <c r="N60" s="1180">
        <f t="shared" si="340"/>
        <v>45</v>
      </c>
      <c r="O60" s="1181">
        <f t="shared" ref="O60:R60" si="345">ROUND((O$67*POWER(0.99,14*(10-$A38))/2)+O$67/2,0)</f>
        <v>5</v>
      </c>
      <c r="P60" s="1181">
        <f t="shared" si="345"/>
        <v>7</v>
      </c>
      <c r="Q60" s="1181">
        <f t="shared" si="345"/>
        <v>3</v>
      </c>
      <c r="R60" s="1181">
        <f t="shared" si="345"/>
        <v>3</v>
      </c>
      <c r="S60" s="1182">
        <f t="shared" si="342"/>
        <v>1</v>
      </c>
      <c r="T60" s="1183"/>
      <c r="U60" s="1184"/>
      <c r="V60" s="1184"/>
      <c r="W60" s="1184"/>
      <c r="X60" s="1184"/>
      <c r="Y60" s="1185"/>
      <c r="Z60" s="1186"/>
      <c r="AE60" s="1187"/>
      <c r="AF60" s="1186"/>
      <c r="AK60" s="1187"/>
    </row>
    <row r="61" ht="19.5" customHeight="1">
      <c r="A61" s="1006">
        <v>4.0</v>
      </c>
      <c r="B61" s="1174">
        <f t="shared" si="334"/>
        <v>50</v>
      </c>
      <c r="C61" s="1175">
        <f t="shared" ref="C61:F61" si="346">ROUND((C$67*POWER(0.99,14*(10-$A39))/2)+C$67/2,0)</f>
        <v>9</v>
      </c>
      <c r="D61" s="1175">
        <f t="shared" si="346"/>
        <v>9</v>
      </c>
      <c r="E61" s="1175">
        <f t="shared" si="346"/>
        <v>7</v>
      </c>
      <c r="F61" s="1175">
        <f t="shared" si="346"/>
        <v>7</v>
      </c>
      <c r="G61" s="1176">
        <f t="shared" si="336"/>
        <v>1</v>
      </c>
      <c r="H61" s="1177">
        <f t="shared" si="337"/>
        <v>45</v>
      </c>
      <c r="I61" s="1178">
        <f t="shared" ref="I61:L61" si="347">ROUND((I$67*POWER(0.99,14*(10-$A39))/2)+I$67/2,0)</f>
        <v>3</v>
      </c>
      <c r="J61" s="1178">
        <f t="shared" si="347"/>
        <v>9</v>
      </c>
      <c r="K61" s="1178">
        <f t="shared" si="347"/>
        <v>5</v>
      </c>
      <c r="L61" s="1178">
        <f t="shared" si="347"/>
        <v>19</v>
      </c>
      <c r="M61" s="1179">
        <f t="shared" si="339"/>
        <v>1</v>
      </c>
      <c r="N61" s="1180">
        <f t="shared" si="340"/>
        <v>50</v>
      </c>
      <c r="O61" s="1181">
        <f t="shared" ref="O61:R61" si="348">ROUND((O$67*POWER(0.99,14*(10-$A39))/2)+O$67/2,0)</f>
        <v>5</v>
      </c>
      <c r="P61" s="1181">
        <f t="shared" si="348"/>
        <v>7</v>
      </c>
      <c r="Q61" s="1181">
        <f t="shared" si="348"/>
        <v>4</v>
      </c>
      <c r="R61" s="1181">
        <f t="shared" si="348"/>
        <v>4</v>
      </c>
      <c r="S61" s="1182">
        <f t="shared" si="342"/>
        <v>1</v>
      </c>
      <c r="T61" s="1183"/>
      <c r="U61" s="1184"/>
      <c r="V61" s="1184"/>
      <c r="W61" s="1184"/>
      <c r="X61" s="1184"/>
      <c r="Y61" s="1185"/>
      <c r="Z61" s="1186"/>
      <c r="AE61" s="1187"/>
      <c r="AF61" s="1186"/>
      <c r="AK61" s="1187"/>
    </row>
    <row r="62" ht="19.5" customHeight="1">
      <c r="A62" s="1006">
        <v>5.0</v>
      </c>
      <c r="B62" s="1174">
        <f t="shared" si="334"/>
        <v>50</v>
      </c>
      <c r="C62" s="1175">
        <f t="shared" ref="C62:F62" si="349">ROUND((C$67*POWER(0.99,14*(10-$A40))/2)+C$67/2,0)</f>
        <v>10</v>
      </c>
      <c r="D62" s="1175">
        <f t="shared" si="349"/>
        <v>10</v>
      </c>
      <c r="E62" s="1175">
        <f t="shared" si="349"/>
        <v>7</v>
      </c>
      <c r="F62" s="1175">
        <f t="shared" si="349"/>
        <v>7</v>
      </c>
      <c r="G62" s="1176">
        <f t="shared" si="336"/>
        <v>1</v>
      </c>
      <c r="H62" s="1177">
        <f t="shared" si="337"/>
        <v>45</v>
      </c>
      <c r="I62" s="1178">
        <f t="shared" ref="I62:L62" si="350">ROUND((I$67*POWER(0.99,14*(10-$A40))/2)+I$67/2,0)</f>
        <v>3</v>
      </c>
      <c r="J62" s="1178">
        <f t="shared" si="350"/>
        <v>9</v>
      </c>
      <c r="K62" s="1178">
        <f t="shared" si="350"/>
        <v>5</v>
      </c>
      <c r="L62" s="1178">
        <f t="shared" si="350"/>
        <v>20</v>
      </c>
      <c r="M62" s="1179">
        <f t="shared" si="339"/>
        <v>1</v>
      </c>
      <c r="N62" s="1180">
        <f t="shared" si="340"/>
        <v>50</v>
      </c>
      <c r="O62" s="1181">
        <f t="shared" ref="O62:R62" si="351">ROUND((O$67*POWER(0.99,14*(10-$A40))/2)+O$67/2,0)</f>
        <v>5</v>
      </c>
      <c r="P62" s="1181">
        <f t="shared" si="351"/>
        <v>7</v>
      </c>
      <c r="Q62" s="1181">
        <f t="shared" si="351"/>
        <v>4</v>
      </c>
      <c r="R62" s="1181">
        <f t="shared" si="351"/>
        <v>4</v>
      </c>
      <c r="S62" s="1182">
        <f t="shared" si="342"/>
        <v>1</v>
      </c>
      <c r="T62" s="1183"/>
      <c r="U62" s="1184"/>
      <c r="V62" s="1184"/>
      <c r="W62" s="1184"/>
      <c r="X62" s="1184"/>
      <c r="Y62" s="1185"/>
      <c r="Z62" s="1186"/>
      <c r="AE62" s="1187"/>
      <c r="AF62" s="1186"/>
      <c r="AK62" s="1187"/>
    </row>
    <row r="63" ht="19.5" customHeight="1">
      <c r="A63" s="1006">
        <v>6.0</v>
      </c>
      <c r="B63" s="1174">
        <f t="shared" si="334"/>
        <v>55</v>
      </c>
      <c r="C63" s="1175">
        <f t="shared" ref="C63:F63" si="352">ROUND((C$67*POWER(0.99,14*(10-$A41))/2)+C$67/2,0)</f>
        <v>10</v>
      </c>
      <c r="D63" s="1175">
        <f t="shared" si="352"/>
        <v>10</v>
      </c>
      <c r="E63" s="1175">
        <f t="shared" si="352"/>
        <v>8</v>
      </c>
      <c r="F63" s="1175">
        <f t="shared" si="352"/>
        <v>8</v>
      </c>
      <c r="G63" s="1176">
        <f t="shared" si="336"/>
        <v>1</v>
      </c>
      <c r="H63" s="1177">
        <f t="shared" si="337"/>
        <v>50</v>
      </c>
      <c r="I63" s="1178">
        <f t="shared" ref="I63:L63" si="353">ROUND((I$67*POWER(0.99,14*(10-$A41))/2)+I$67/2,0)</f>
        <v>3</v>
      </c>
      <c r="J63" s="1178">
        <f t="shared" si="353"/>
        <v>9</v>
      </c>
      <c r="K63" s="1178">
        <f t="shared" si="353"/>
        <v>5</v>
      </c>
      <c r="L63" s="1178">
        <f t="shared" si="353"/>
        <v>21</v>
      </c>
      <c r="M63" s="1179">
        <f t="shared" si="339"/>
        <v>1</v>
      </c>
      <c r="N63" s="1180">
        <f t="shared" si="340"/>
        <v>55</v>
      </c>
      <c r="O63" s="1181">
        <f t="shared" ref="O63:R63" si="354">ROUND((O$67*POWER(0.99,14*(10-$A41))/2)+O$67/2,0)</f>
        <v>5</v>
      </c>
      <c r="P63" s="1181">
        <f t="shared" si="354"/>
        <v>8</v>
      </c>
      <c r="Q63" s="1181">
        <f t="shared" si="354"/>
        <v>4</v>
      </c>
      <c r="R63" s="1181">
        <f t="shared" si="354"/>
        <v>4</v>
      </c>
      <c r="S63" s="1182">
        <f t="shared" si="342"/>
        <v>1</v>
      </c>
      <c r="T63" s="1183"/>
      <c r="U63" s="1184"/>
      <c r="V63" s="1184"/>
      <c r="W63" s="1184"/>
      <c r="X63" s="1184"/>
      <c r="Y63" s="1185"/>
      <c r="Z63" s="1186"/>
      <c r="AE63" s="1187"/>
      <c r="AF63" s="1186"/>
      <c r="AK63" s="1187"/>
    </row>
    <row r="64" ht="19.5" customHeight="1">
      <c r="A64" s="1006">
        <v>7.0</v>
      </c>
      <c r="B64" s="1174">
        <f t="shared" si="334"/>
        <v>55</v>
      </c>
      <c r="C64" s="1175">
        <f t="shared" ref="C64:F64" si="355">ROUND((C$67*POWER(0.99,14*(10-$A42))/2)+C$67/2,0)</f>
        <v>11</v>
      </c>
      <c r="D64" s="1175">
        <f t="shared" si="355"/>
        <v>11</v>
      </c>
      <c r="E64" s="1175">
        <f t="shared" si="355"/>
        <v>8</v>
      </c>
      <c r="F64" s="1175">
        <f t="shared" si="355"/>
        <v>8</v>
      </c>
      <c r="G64" s="1176">
        <f t="shared" si="336"/>
        <v>1</v>
      </c>
      <c r="H64" s="1177">
        <f t="shared" si="337"/>
        <v>50</v>
      </c>
      <c r="I64" s="1178">
        <f t="shared" ref="I64:L64" si="356">ROUND((I$67*POWER(0.99,14*(10-$A42))/2)+I$67/2,0)</f>
        <v>3</v>
      </c>
      <c r="J64" s="1178">
        <f t="shared" si="356"/>
        <v>10</v>
      </c>
      <c r="K64" s="1178">
        <f t="shared" si="356"/>
        <v>6</v>
      </c>
      <c r="L64" s="1178">
        <f t="shared" si="356"/>
        <v>22</v>
      </c>
      <c r="M64" s="1179">
        <f t="shared" si="339"/>
        <v>1</v>
      </c>
      <c r="N64" s="1180">
        <f t="shared" si="340"/>
        <v>55</v>
      </c>
      <c r="O64" s="1181">
        <f t="shared" ref="O64:R64" si="357">ROUND((O$67*POWER(0.99,14*(10-$A42))/2)+O$67/2,0)</f>
        <v>6</v>
      </c>
      <c r="P64" s="1181">
        <f t="shared" si="357"/>
        <v>8</v>
      </c>
      <c r="Q64" s="1181">
        <f t="shared" si="357"/>
        <v>4</v>
      </c>
      <c r="R64" s="1181">
        <f t="shared" si="357"/>
        <v>4</v>
      </c>
      <c r="S64" s="1182">
        <f t="shared" si="342"/>
        <v>1</v>
      </c>
      <c r="T64" s="1183"/>
      <c r="U64" s="1184"/>
      <c r="V64" s="1184"/>
      <c r="W64" s="1184"/>
      <c r="X64" s="1184"/>
      <c r="Y64" s="1185"/>
      <c r="Z64" s="1186"/>
      <c r="AE64" s="1187"/>
      <c r="AF64" s="1188"/>
      <c r="AK64" s="1187"/>
    </row>
    <row r="65" ht="19.5" customHeight="1">
      <c r="A65" s="1006">
        <v>8.0</v>
      </c>
      <c r="B65" s="1174">
        <f t="shared" si="334"/>
        <v>60</v>
      </c>
      <c r="C65" s="1175">
        <f t="shared" ref="C65:F65" si="358">ROUND((C$67*POWER(0.99,14*(10-$A43))/2)+C$67/2,0)</f>
        <v>11</v>
      </c>
      <c r="D65" s="1175">
        <f t="shared" si="358"/>
        <v>11</v>
      </c>
      <c r="E65" s="1175">
        <f t="shared" si="358"/>
        <v>9</v>
      </c>
      <c r="F65" s="1175">
        <f t="shared" si="358"/>
        <v>9</v>
      </c>
      <c r="G65" s="1176">
        <f t="shared" si="336"/>
        <v>1</v>
      </c>
      <c r="H65" s="1177">
        <f t="shared" si="337"/>
        <v>55</v>
      </c>
      <c r="I65" s="1178">
        <f t="shared" ref="I65:L65" si="359">ROUND((I$67*POWER(0.99,14*(10-$A43))/2)+I$67/2,0)</f>
        <v>4</v>
      </c>
      <c r="J65" s="1178">
        <f t="shared" si="359"/>
        <v>11</v>
      </c>
      <c r="K65" s="1178">
        <f t="shared" si="359"/>
        <v>6</v>
      </c>
      <c r="L65" s="1178">
        <f t="shared" si="359"/>
        <v>24</v>
      </c>
      <c r="M65" s="1179">
        <f t="shared" si="339"/>
        <v>1</v>
      </c>
      <c r="N65" s="1180">
        <f t="shared" si="340"/>
        <v>60</v>
      </c>
      <c r="O65" s="1181">
        <f t="shared" ref="O65:R65" si="360">ROUND((O$67*POWER(0.99,14*(10-$A43))/2)+O$67/2,0)</f>
        <v>6</v>
      </c>
      <c r="P65" s="1181">
        <f t="shared" si="360"/>
        <v>9</v>
      </c>
      <c r="Q65" s="1181">
        <f t="shared" si="360"/>
        <v>4</v>
      </c>
      <c r="R65" s="1181">
        <f t="shared" si="360"/>
        <v>4</v>
      </c>
      <c r="S65" s="1182">
        <f t="shared" si="342"/>
        <v>1</v>
      </c>
      <c r="T65" s="1183"/>
      <c r="U65" s="1184"/>
      <c r="V65" s="1184"/>
      <c r="W65" s="1184"/>
      <c r="X65" s="1184"/>
      <c r="Y65" s="1185"/>
      <c r="Z65" s="1186"/>
      <c r="AE65" s="1187"/>
      <c r="AF65" s="1186"/>
      <c r="AK65" s="1187"/>
    </row>
    <row r="66" ht="19.5" customHeight="1">
      <c r="A66" s="1006">
        <v>9.0</v>
      </c>
      <c r="B66" s="1189">
        <f t="shared" si="334"/>
        <v>65</v>
      </c>
      <c r="C66" s="1190">
        <f t="shared" ref="C66:F66" si="361">ROUND((C$67*POWER(0.99,14*(10-$A44))/2)+C$67/2,0)</f>
        <v>12</v>
      </c>
      <c r="D66" s="1190">
        <f t="shared" si="361"/>
        <v>12</v>
      </c>
      <c r="E66" s="1190">
        <f t="shared" si="361"/>
        <v>9</v>
      </c>
      <c r="F66" s="1190">
        <f t="shared" si="361"/>
        <v>9</v>
      </c>
      <c r="G66" s="1191">
        <f t="shared" si="336"/>
        <v>1</v>
      </c>
      <c r="H66" s="1177">
        <f t="shared" si="337"/>
        <v>60</v>
      </c>
      <c r="I66" s="1178">
        <f t="shared" ref="I66:L66" si="362">ROUND((I$67*POWER(0.99,14*(10-$A44))/2)+I$67/2,0)</f>
        <v>4</v>
      </c>
      <c r="J66" s="1178">
        <f t="shared" si="362"/>
        <v>11</v>
      </c>
      <c r="K66" s="1178">
        <f t="shared" si="362"/>
        <v>7</v>
      </c>
      <c r="L66" s="1178">
        <f t="shared" si="362"/>
        <v>25</v>
      </c>
      <c r="M66" s="1179">
        <f t="shared" si="339"/>
        <v>1</v>
      </c>
      <c r="N66" s="1180">
        <f t="shared" si="340"/>
        <v>65</v>
      </c>
      <c r="O66" s="1181">
        <f t="shared" ref="O66:R66" si="363">ROUND((O$67*POWER(0.99,14*(10-$A44))/2)+O$67/2,0)</f>
        <v>7</v>
      </c>
      <c r="P66" s="1181">
        <f t="shared" si="363"/>
        <v>9</v>
      </c>
      <c r="Q66" s="1181">
        <f t="shared" si="363"/>
        <v>5</v>
      </c>
      <c r="R66" s="1181">
        <f t="shared" si="363"/>
        <v>5</v>
      </c>
      <c r="S66" s="1182">
        <f t="shared" si="342"/>
        <v>1</v>
      </c>
      <c r="T66" s="1183"/>
      <c r="U66" s="1184"/>
      <c r="V66" s="1184"/>
      <c r="W66" s="1184"/>
      <c r="X66" s="1184"/>
      <c r="Y66" s="1185"/>
      <c r="Z66" s="1186"/>
      <c r="AE66" s="1187"/>
      <c r="AF66" s="1186"/>
      <c r="AK66" s="1187"/>
    </row>
    <row r="67" ht="19.5" customHeight="1">
      <c r="A67" s="1192">
        <v>10.0</v>
      </c>
      <c r="B67" s="1193">
        <v>65.0</v>
      </c>
      <c r="C67" s="1190">
        <v>13.0</v>
      </c>
      <c r="D67" s="1190">
        <v>13.0</v>
      </c>
      <c r="E67" s="1190">
        <v>10.0</v>
      </c>
      <c r="F67" s="1190">
        <v>10.0</v>
      </c>
      <c r="G67" s="1191">
        <v>1.0</v>
      </c>
      <c r="H67" s="1194">
        <v>60.0</v>
      </c>
      <c r="I67" s="1195">
        <v>4.0</v>
      </c>
      <c r="J67" s="1195">
        <v>12.0</v>
      </c>
      <c r="K67" s="1195">
        <v>7.0</v>
      </c>
      <c r="L67" s="1195">
        <v>27.0</v>
      </c>
      <c r="M67" s="1196">
        <v>1.0</v>
      </c>
      <c r="N67" s="1197">
        <v>65.0</v>
      </c>
      <c r="O67" s="1198">
        <v>7.0</v>
      </c>
      <c r="P67" s="1198">
        <v>10.0</v>
      </c>
      <c r="Q67" s="1198">
        <v>5.0</v>
      </c>
      <c r="R67" s="1198">
        <v>5.0</v>
      </c>
      <c r="S67" s="1199">
        <v>1.0</v>
      </c>
      <c r="T67" s="1200"/>
      <c r="U67" s="1201"/>
      <c r="V67" s="1201"/>
      <c r="W67" s="1201"/>
      <c r="X67" s="1201"/>
      <c r="Y67" s="1202"/>
      <c r="Z67" s="1203"/>
      <c r="AA67" s="1204"/>
      <c r="AB67" s="1205"/>
      <c r="AC67" s="1204"/>
      <c r="AD67" s="1204"/>
      <c r="AE67" s="1206"/>
      <c r="AF67" s="1203"/>
      <c r="AG67" s="1204"/>
      <c r="AH67" s="1204"/>
      <c r="AI67" s="1204"/>
      <c r="AJ67" s="1204"/>
      <c r="AK67" s="1206"/>
    </row>
  </sheetData>
  <mergeCells count="33">
    <mergeCell ref="T13:Y13"/>
    <mergeCell ref="Z13:AE13"/>
    <mergeCell ref="B2:G2"/>
    <mergeCell ref="H2:M2"/>
    <mergeCell ref="N2:S2"/>
    <mergeCell ref="T2:Y2"/>
    <mergeCell ref="Z2:AE2"/>
    <mergeCell ref="AF2:AK2"/>
    <mergeCell ref="B13:G13"/>
    <mergeCell ref="AF13:AK13"/>
    <mergeCell ref="H13:M13"/>
    <mergeCell ref="N13:S13"/>
    <mergeCell ref="H24:M24"/>
    <mergeCell ref="N24:S24"/>
    <mergeCell ref="T24:Y24"/>
    <mergeCell ref="Z24:AE24"/>
    <mergeCell ref="AF24:AK24"/>
    <mergeCell ref="B24:G24"/>
    <mergeCell ref="B35:G35"/>
    <mergeCell ref="H35:M35"/>
    <mergeCell ref="N35:S35"/>
    <mergeCell ref="T35:Y35"/>
    <mergeCell ref="Z35:AE35"/>
    <mergeCell ref="AF35:AK35"/>
    <mergeCell ref="H57:M57"/>
    <mergeCell ref="N57:S57"/>
    <mergeCell ref="B46:G46"/>
    <mergeCell ref="H46:M46"/>
    <mergeCell ref="N46:S46"/>
    <mergeCell ref="T46:Y46"/>
    <mergeCell ref="Z46:AE46"/>
    <mergeCell ref="AF46:AK46"/>
    <mergeCell ref="B57:G57"/>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8.88"/>
  </cols>
  <sheetData>
    <row r="1">
      <c r="A1" s="766" t="s">
        <v>1445</v>
      </c>
      <c r="C1" s="766" t="s">
        <v>1446</v>
      </c>
      <c r="E1" s="769" t="s">
        <v>1447</v>
      </c>
      <c r="G1" s="766" t="s">
        <v>1448</v>
      </c>
      <c r="I1" s="766" t="s">
        <v>1449</v>
      </c>
      <c r="J1" s="772"/>
    </row>
    <row r="2">
      <c r="A2" s="776" t="s">
        <v>1450</v>
      </c>
      <c r="B2" s="780" t="s">
        <v>1451</v>
      </c>
      <c r="C2" s="776" t="s">
        <v>1450</v>
      </c>
      <c r="D2" s="780" t="s">
        <v>1451</v>
      </c>
      <c r="E2" s="783" t="s">
        <v>1450</v>
      </c>
      <c r="F2" s="780" t="s">
        <v>1451</v>
      </c>
      <c r="G2" s="783" t="s">
        <v>1450</v>
      </c>
      <c r="H2" s="780" t="s">
        <v>1451</v>
      </c>
      <c r="I2" s="783" t="s">
        <v>1450</v>
      </c>
      <c r="J2" s="780" t="s">
        <v>1451</v>
      </c>
    </row>
    <row r="3">
      <c r="A3" s="786" t="s">
        <v>1453</v>
      </c>
      <c r="B3" s="788">
        <v>5.0</v>
      </c>
      <c r="C3" s="786" t="s">
        <v>1454</v>
      </c>
      <c r="D3" s="789">
        <v>2.0</v>
      </c>
      <c r="E3" s="790" t="s">
        <v>1453</v>
      </c>
      <c r="F3" s="789">
        <v>2.0</v>
      </c>
      <c r="G3" s="790" t="s">
        <v>1455</v>
      </c>
      <c r="H3" s="789">
        <v>5.0</v>
      </c>
      <c r="I3" s="792" t="s">
        <v>1456</v>
      </c>
      <c r="J3" s="789">
        <v>3.0</v>
      </c>
    </row>
    <row r="4">
      <c r="A4" s="793" t="s">
        <v>1457</v>
      </c>
      <c r="B4" s="795">
        <v>6.0</v>
      </c>
      <c r="C4" s="793" t="s">
        <v>1456</v>
      </c>
      <c r="D4" s="797">
        <v>7.0</v>
      </c>
      <c r="E4" s="798" t="s">
        <v>1457</v>
      </c>
      <c r="F4" s="800">
        <v>2.0</v>
      </c>
      <c r="G4" s="802" t="s">
        <v>1458</v>
      </c>
      <c r="H4" s="797">
        <v>6.0</v>
      </c>
      <c r="I4" s="798" t="s">
        <v>1459</v>
      </c>
      <c r="J4" s="797">
        <v>5.0</v>
      </c>
    </row>
    <row r="5">
      <c r="A5" s="786" t="s">
        <v>1460</v>
      </c>
      <c r="B5" s="788">
        <v>7.0</v>
      </c>
      <c r="C5" s="786" t="s">
        <v>1459</v>
      </c>
      <c r="D5" s="789">
        <v>9.0</v>
      </c>
      <c r="E5" s="792" t="s">
        <v>1460</v>
      </c>
      <c r="F5" s="805">
        <v>3.0</v>
      </c>
      <c r="G5" s="790" t="s">
        <v>1461</v>
      </c>
      <c r="H5" s="789">
        <v>7.0</v>
      </c>
      <c r="I5" s="792" t="s">
        <v>1462</v>
      </c>
      <c r="J5" s="789">
        <v>6.0</v>
      </c>
    </row>
    <row r="6">
      <c r="A6" s="793" t="s">
        <v>1463</v>
      </c>
      <c r="B6" s="795">
        <v>8.0</v>
      </c>
      <c r="C6" s="793" t="s">
        <v>1462</v>
      </c>
      <c r="D6" s="797">
        <v>10.0</v>
      </c>
      <c r="E6" s="798" t="s">
        <v>1463</v>
      </c>
      <c r="F6" s="800">
        <v>3.0</v>
      </c>
      <c r="G6" s="810" t="s">
        <v>1464</v>
      </c>
      <c r="H6" s="772"/>
      <c r="I6" s="812" t="s">
        <v>1465</v>
      </c>
      <c r="J6" s="797">
        <v>7.0</v>
      </c>
    </row>
    <row r="7">
      <c r="A7" s="790" t="s">
        <v>1466</v>
      </c>
      <c r="B7" s="789">
        <v>9.0</v>
      </c>
      <c r="C7" s="790" t="s">
        <v>1465</v>
      </c>
      <c r="D7" s="789">
        <v>11.0</v>
      </c>
      <c r="E7" s="792" t="s">
        <v>1466</v>
      </c>
      <c r="F7" s="805">
        <v>4.0</v>
      </c>
      <c r="G7" s="790" t="s">
        <v>1467</v>
      </c>
      <c r="H7" s="789">
        <v>9.0</v>
      </c>
      <c r="I7" s="790" t="s">
        <v>1468</v>
      </c>
      <c r="J7" s="789">
        <v>8.0</v>
      </c>
    </row>
    <row r="8">
      <c r="A8" s="817" t="s">
        <v>1469</v>
      </c>
      <c r="B8" s="819">
        <v>10.0</v>
      </c>
      <c r="C8" s="817" t="s">
        <v>1468</v>
      </c>
      <c r="D8" s="819">
        <v>12.0</v>
      </c>
      <c r="E8" s="822" t="s">
        <v>1469</v>
      </c>
      <c r="F8" s="823">
        <v>4.0</v>
      </c>
      <c r="G8" s="817" t="s">
        <v>1470</v>
      </c>
      <c r="H8" s="819">
        <v>11.0</v>
      </c>
      <c r="I8" s="817"/>
      <c r="J8" s="819"/>
    </row>
    <row r="9">
      <c r="A9" s="827" t="s">
        <v>1471</v>
      </c>
      <c r="J9" s="772"/>
    </row>
    <row r="10">
      <c r="A10" s="776" t="s">
        <v>1472</v>
      </c>
      <c r="B10" s="830" t="s">
        <v>1473</v>
      </c>
      <c r="C10" s="830" t="s">
        <v>1474</v>
      </c>
      <c r="D10" s="830" t="s">
        <v>1475</v>
      </c>
      <c r="E10" s="830" t="s">
        <v>1476</v>
      </c>
      <c r="F10" s="830" t="s">
        <v>1477</v>
      </c>
      <c r="G10" s="830" t="s">
        <v>1478</v>
      </c>
      <c r="H10" s="830" t="s">
        <v>1479</v>
      </c>
      <c r="I10" s="830" t="s">
        <v>1480</v>
      </c>
      <c r="J10" s="834" t="s">
        <v>1481</v>
      </c>
    </row>
    <row r="11">
      <c r="A11" s="836" t="s">
        <v>1483</v>
      </c>
      <c r="B11" s="837" t="s">
        <v>1473</v>
      </c>
      <c r="C11" s="837" t="s">
        <v>1479</v>
      </c>
      <c r="D11" s="837" t="s">
        <v>1484</v>
      </c>
      <c r="E11" s="837">
        <f t="shared" ref="E11:J11" si="1">D11+5</f>
        <v>20</v>
      </c>
      <c r="F11" s="837">
        <f t="shared" si="1"/>
        <v>25</v>
      </c>
      <c r="G11" s="837">
        <f t="shared" si="1"/>
        <v>30</v>
      </c>
      <c r="H11" s="837">
        <f t="shared" si="1"/>
        <v>35</v>
      </c>
      <c r="I11" s="837">
        <f t="shared" si="1"/>
        <v>40</v>
      </c>
      <c r="J11" s="846">
        <f t="shared" si="1"/>
        <v>45</v>
      </c>
    </row>
    <row r="12">
      <c r="A12" s="776" t="s">
        <v>1485</v>
      </c>
      <c r="B12" s="830" t="s">
        <v>1473</v>
      </c>
      <c r="C12" s="830">
        <f t="shared" ref="C12:J12" si="2">B12+C11</f>
        <v>10</v>
      </c>
      <c r="D12" s="830">
        <f t="shared" si="2"/>
        <v>25</v>
      </c>
      <c r="E12" s="830">
        <f t="shared" si="2"/>
        <v>45</v>
      </c>
      <c r="F12" s="830">
        <f t="shared" si="2"/>
        <v>70</v>
      </c>
      <c r="G12" s="830">
        <f t="shared" si="2"/>
        <v>100</v>
      </c>
      <c r="H12" s="830">
        <f t="shared" si="2"/>
        <v>135</v>
      </c>
      <c r="I12" s="830">
        <f t="shared" si="2"/>
        <v>175</v>
      </c>
      <c r="J12" s="834">
        <f t="shared" si="2"/>
        <v>220</v>
      </c>
    </row>
    <row r="13">
      <c r="A13" s="859" t="s">
        <v>1486</v>
      </c>
      <c r="B13" s="861"/>
      <c r="C13" s="861"/>
      <c r="D13" s="861"/>
      <c r="E13" s="861"/>
      <c r="F13" s="861"/>
      <c r="G13" s="861"/>
      <c r="H13" s="861"/>
      <c r="I13" s="861"/>
      <c r="J13" s="864"/>
    </row>
    <row r="14">
      <c r="A14" s="866" t="s">
        <v>1487</v>
      </c>
      <c r="D14" s="868" t="s">
        <v>1488</v>
      </c>
      <c r="H14" s="868" t="s">
        <v>1489</v>
      </c>
      <c r="J14" s="772"/>
    </row>
    <row r="15">
      <c r="A15" s="873" t="s">
        <v>1490</v>
      </c>
      <c r="D15" s="873" t="s">
        <v>1492</v>
      </c>
      <c r="H15" s="873" t="s">
        <v>1493</v>
      </c>
      <c r="J15" s="772"/>
    </row>
    <row r="16">
      <c r="A16" s="873" t="s">
        <v>1494</v>
      </c>
      <c r="D16" s="873" t="s">
        <v>1495</v>
      </c>
      <c r="H16" s="873" t="s">
        <v>1497</v>
      </c>
      <c r="J16" s="772"/>
    </row>
    <row r="17">
      <c r="A17" s="879" t="s">
        <v>1498</v>
      </c>
      <c r="B17" s="880"/>
      <c r="C17" s="880"/>
      <c r="D17" s="879" t="s">
        <v>1499</v>
      </c>
      <c r="E17" s="880"/>
      <c r="F17" s="880"/>
      <c r="G17" s="880"/>
      <c r="H17" s="879" t="s">
        <v>1500</v>
      </c>
      <c r="I17" s="880"/>
      <c r="J17" s="883"/>
    </row>
  </sheetData>
  <mergeCells count="20">
    <mergeCell ref="A1:B1"/>
    <mergeCell ref="C1:D1"/>
    <mergeCell ref="E1:F1"/>
    <mergeCell ref="G1:H1"/>
    <mergeCell ref="I1:J1"/>
    <mergeCell ref="G6:H6"/>
    <mergeCell ref="A9:J9"/>
    <mergeCell ref="A16:C16"/>
    <mergeCell ref="D16:G16"/>
    <mergeCell ref="H16:J16"/>
    <mergeCell ref="A17:C17"/>
    <mergeCell ref="D17:G17"/>
    <mergeCell ref="H17:J17"/>
    <mergeCell ref="A13:J13"/>
    <mergeCell ref="A14:C14"/>
    <mergeCell ref="D14:G14"/>
    <mergeCell ref="H14:J14"/>
    <mergeCell ref="A15:C15"/>
    <mergeCell ref="D15:G15"/>
    <mergeCell ref="H15:J15"/>
  </mergeCells>
  <drawing r:id="rId1"/>
</worksheet>
</file>